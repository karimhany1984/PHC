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kekon\Desktop\"/>
    </mc:Choice>
  </mc:AlternateContent>
  <xr:revisionPtr revIDLastSave="0" documentId="13_ncr:1_{64046189-BBE6-4C5F-B8E1-CD76A699656B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العيادات" sheetId="1" r:id="rId1"/>
    <sheet name="مبادرات-البان" sheetId="2" r:id="rId2"/>
    <sheet name="الاجمالي" sheetId="3" r:id="rId3"/>
    <sheet name="dont delete or edit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7" i="2" l="1"/>
  <c r="E52" i="3" s="1"/>
  <c r="G146" i="2"/>
  <c r="E51" i="3" s="1"/>
  <c r="G126" i="2"/>
  <c r="E50" i="3" s="1"/>
  <c r="G112" i="2"/>
  <c r="E49" i="3" s="1"/>
  <c r="G96" i="2"/>
  <c r="E48" i="3" s="1"/>
  <c r="G76" i="2"/>
  <c r="E47" i="3" s="1"/>
  <c r="G61" i="2"/>
  <c r="E46" i="3" s="1"/>
  <c r="G38" i="2"/>
  <c r="E45" i="3" s="1"/>
  <c r="G20" i="2"/>
  <c r="E44" i="3" s="1"/>
  <c r="H560" i="1"/>
  <c r="E42" i="3" s="1"/>
  <c r="F501" i="1"/>
  <c r="E41" i="3" s="1"/>
  <c r="F463" i="1"/>
  <c r="E40" i="3" s="1"/>
  <c r="F453" i="1"/>
  <c r="E39" i="3" s="1"/>
  <c r="F435" i="1"/>
  <c r="E38" i="3" s="1"/>
  <c r="F429" i="1"/>
  <c r="E37" i="3" s="1"/>
  <c r="F423" i="1"/>
  <c r="E36" i="3" s="1"/>
  <c r="F406" i="1"/>
  <c r="E35" i="3" s="1"/>
  <c r="F392" i="1"/>
  <c r="E34" i="3" s="1"/>
  <c r="F386" i="1"/>
  <c r="E33" i="3" s="1"/>
  <c r="F381" i="1"/>
  <c r="E32" i="3" s="1"/>
  <c r="F377" i="1"/>
  <c r="E31" i="3" s="1"/>
  <c r="F367" i="1"/>
  <c r="E30" i="3" s="1"/>
  <c r="F352" i="1"/>
  <c r="E29" i="3" s="1"/>
  <c r="F345" i="1"/>
  <c r="E28" i="3" s="1"/>
  <c r="F320" i="1"/>
  <c r="E27" i="3" s="1"/>
  <c r="F291" i="1"/>
  <c r="E26" i="3" s="1"/>
  <c r="F268" i="1"/>
  <c r="E25" i="3" s="1"/>
  <c r="F262" i="1"/>
  <c r="E24" i="3" s="1"/>
  <c r="F250" i="1"/>
  <c r="E23" i="3" s="1"/>
  <c r="F234" i="1"/>
  <c r="E22" i="3" s="1"/>
  <c r="F224" i="1"/>
  <c r="E21" i="3" s="1"/>
  <c r="F213" i="1"/>
  <c r="E20" i="3" s="1"/>
  <c r="F206" i="1"/>
  <c r="E19" i="3" s="1"/>
  <c r="F193" i="1"/>
  <c r="E18" i="3" s="1"/>
  <c r="F174" i="1"/>
  <c r="E17" i="3" s="1"/>
  <c r="F140" i="1"/>
  <c r="E16" i="3" s="1"/>
  <c r="F120" i="1"/>
  <c r="E15" i="3" s="1"/>
  <c r="F109" i="1"/>
  <c r="E14" i="3" s="1"/>
  <c r="F103" i="1"/>
  <c r="E13" i="3" s="1"/>
  <c r="F95" i="1"/>
  <c r="E12" i="3" s="1"/>
  <c r="F90" i="1"/>
  <c r="E11" i="3" s="1"/>
  <c r="F67" i="1"/>
  <c r="E10" i="3" s="1"/>
  <c r="F50" i="1"/>
  <c r="E9" i="3" s="1"/>
  <c r="E54" i="3" l="1"/>
  <c r="G5" i="3" s="1"/>
</calcChain>
</file>

<file path=xl/sharedStrings.xml><?xml version="1.0" encoding="utf-8"?>
<sst xmlns="http://schemas.openxmlformats.org/spreadsheetml/2006/main" count="1107" uniqueCount="854">
  <si>
    <t>وزارة الصحـة و الســـــكان</t>
  </si>
  <si>
    <t>الإدارة المركزية لجودة الرعاية الصحية</t>
  </si>
  <si>
    <t>الادارة العامة لمتابعة المديريات</t>
  </si>
  <si>
    <t xml:space="preserve">PHC assessment standards 2025 </t>
  </si>
  <si>
    <r>
      <rPr>
        <b/>
        <sz val="20"/>
        <color theme="1"/>
        <rFont val="Traditional Arabic"/>
      </rPr>
      <t>م</t>
    </r>
  </si>
  <si>
    <r>
      <rPr>
        <b/>
        <sz val="20"/>
        <color theme="1"/>
        <rFont val="Traditional Arabic"/>
      </rPr>
      <t>المعيــــــار</t>
    </r>
  </si>
  <si>
    <r>
      <rPr>
        <b/>
        <sz val="20"/>
        <color theme="1"/>
        <rFont val="Traditional Arabic"/>
      </rPr>
      <t>التقييم</t>
    </r>
  </si>
  <si>
    <t>ملاحظات</t>
  </si>
  <si>
    <r>
      <rPr>
        <b/>
        <sz val="18"/>
        <color theme="1"/>
        <rFont val="Times New Roman"/>
      </rPr>
      <t>إشتراطات عامة:</t>
    </r>
  </si>
  <si>
    <r>
      <rPr>
        <b/>
        <sz val="14"/>
        <color theme="1"/>
        <rFont val="Times New Roman"/>
      </rPr>
      <t>النظام الصحي والخدمات:</t>
    </r>
  </si>
  <si>
    <r>
      <rPr>
        <b/>
        <sz val="12"/>
        <color theme="1"/>
        <rFont val="Times New Roman"/>
      </rPr>
      <t>لافتة توضح إسم الوحدة / المركز في مكان واضح وسليمة و نظيفة.</t>
    </r>
  </si>
  <si>
    <r>
      <rPr>
        <b/>
        <sz val="12"/>
        <color theme="1"/>
        <rFont val="Times New Roman"/>
      </rPr>
      <t>لافتة بالخدمات المقدمة في الوحدة / المركز معلنة و محدثة و معتمدة.</t>
    </r>
  </si>
  <si>
    <r>
      <rPr>
        <b/>
        <sz val="12"/>
        <color theme="1"/>
        <rFont val="Times New Roman"/>
      </rPr>
      <t>لافتة رئيسية  بأسعار الخدمات المقدمة معلنة و محدثة و معتمدة و لها مرجع.</t>
    </r>
  </si>
  <si>
    <r>
      <rPr>
        <b/>
        <sz val="12"/>
        <color theme="1"/>
        <rFont val="Times New Roman"/>
      </rPr>
      <t>لافتة موضح بها توزيع وتقسيمات وحدات المبنى الداخلية بالتفصيل كل طابق على حدة .</t>
    </r>
  </si>
  <si>
    <r>
      <rPr>
        <b/>
        <sz val="12"/>
        <color theme="1"/>
        <rFont val="Times New Roman"/>
      </rPr>
      <t>لافتة بالمبادرات التى يتم تقديمها بالوحدة / المركز</t>
    </r>
  </si>
  <si>
    <r>
      <rPr>
        <b/>
        <sz val="14"/>
        <color theme="1"/>
        <rFont val="Times New Roman"/>
      </rPr>
      <t>القيادة والإدارة:</t>
    </r>
  </si>
  <si>
    <r>
      <rPr>
        <b/>
        <sz val="12"/>
        <color theme="1"/>
        <rFont val="Times New Roman"/>
      </rPr>
      <t>يوجد هيكل تنظيمي بالمسمى الوظيفى و الأسماء معلن و محدث و معتمد.</t>
    </r>
  </si>
  <si>
    <r>
      <rPr>
        <b/>
        <sz val="12"/>
        <color theme="1"/>
        <rFont val="Times New Roman"/>
      </rPr>
      <t>يوجد توصيف وظيفي لجميع العاملين و جميع المسميات الوظيفية بالوحدة / المركز.</t>
    </r>
  </si>
  <si>
    <r>
      <rPr>
        <b/>
        <sz val="12"/>
        <color theme="1"/>
        <rFont val="Times New Roman"/>
      </rPr>
      <t>جميع العاملين على علم و دراية تامة بالتوصيف الوظيفي .</t>
    </r>
  </si>
  <si>
    <r>
      <rPr>
        <b/>
        <sz val="12"/>
        <color theme="1"/>
        <rFont val="Times New Roman"/>
      </rPr>
      <t xml:space="preserve"> نسخة من خطة العمل السنوية ( التشغيلية).</t>
    </r>
  </si>
  <si>
    <r>
      <rPr>
        <b/>
        <sz val="12"/>
        <color theme="1"/>
        <rFont val="Times New Roman"/>
      </rPr>
      <t>لافتات  فى مكان واضح بمدخل الوحدة / المركز توضح  الآتى: 
 الرؤية – الرسالة – القيم  محدثة و معتمدة
 حقوق و واجبات المرضى واضحة ومعلنة و محدثة و معتمدة.
 ملصقات منع التدخين معلنة و واضحة في جميع أماكن الإنتظار والممرات وغرف الفحص...الخ</t>
    </r>
  </si>
  <si>
    <r>
      <rPr>
        <b/>
        <sz val="12"/>
        <color theme="1"/>
        <rFont val="Times New Roman"/>
      </rPr>
      <t>سياسة منع التدخين مطبقة بالنسبة للعاملين و المرضى.</t>
    </r>
  </si>
  <si>
    <r>
      <rPr>
        <b/>
        <sz val="12"/>
        <color theme="1"/>
        <rFont val="Times New Roman"/>
      </rPr>
      <t>لافتة بالموضوعات التثقيفية اليومية المقدمة للمرضى على مدار الأسبوع طبقاً للمجموعات المتجانسة.</t>
    </r>
  </si>
  <si>
    <r>
      <rPr>
        <b/>
        <sz val="12"/>
        <color theme="1"/>
        <rFont val="Times New Roman"/>
      </rPr>
      <t xml:space="preserve">مخارج الوحدة / المركز مشار إليها بوضوح من خلال: 
 خط سير دخول وخروج المرضى
 أسهم إسترشادية للوصول إلى العيادة المطلوبة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كل مكان بالوحدة معنون بلافتة توضح نوع الخدمة المقدمة داخله , و اللافتة أعلى الباب و ليس عليه. 
 أسهم بمخارج الطوارئ و نقاط التجمع.</t>
    </r>
  </si>
  <si>
    <r>
      <rPr>
        <b/>
        <sz val="14"/>
        <color theme="1"/>
        <rFont val="Times New Roman"/>
      </rPr>
      <t>تنظيم العمل :</t>
    </r>
  </si>
  <si>
    <r>
      <rPr>
        <b/>
        <sz val="12"/>
        <color theme="1"/>
        <rFont val="Times New Roman"/>
      </rPr>
      <t xml:space="preserve">تواجد جداول عمل تنظيمية  معلنة على مدار فترات العمل لجميع العاملين بالوحدة  </t>
    </r>
  </si>
  <si>
    <r>
      <rPr>
        <b/>
        <sz val="12"/>
        <color theme="1"/>
        <rFont val="Times New Roman"/>
      </rPr>
      <t>تواجد العاملون طبقا لجداول العمل التنظيمية  .</t>
    </r>
  </si>
  <si>
    <r>
      <rPr>
        <b/>
        <sz val="12"/>
        <color theme="1"/>
        <rFont val="Times New Roman"/>
      </rPr>
      <t>يلتزم جميع العاملين بالزى الخاص بهم  .</t>
    </r>
  </si>
  <si>
    <r>
      <rPr>
        <b/>
        <sz val="12"/>
        <color theme="1"/>
        <rFont val="Times New Roman"/>
      </rPr>
      <t>يلتزم جميع العاملين بوضع بادج تعريف موضح فيه : الإسم والقسم والصورة</t>
    </r>
  </si>
  <si>
    <t>لا يوجد</t>
  </si>
  <si>
    <r>
      <rPr>
        <b/>
        <sz val="14"/>
        <color theme="1"/>
        <rFont val="Times New Roman"/>
      </rPr>
      <t>البنية التحتية العامة بالوحدة / المركز :</t>
    </r>
  </si>
  <si>
    <r>
      <rPr>
        <b/>
        <sz val="12"/>
        <color theme="1"/>
        <rFont val="Times New Roman"/>
      </rPr>
      <t>المبنى مطلي و نظيف من الخارج و الداخل</t>
    </r>
  </si>
  <si>
    <r>
      <rPr>
        <b/>
        <sz val="12"/>
        <color theme="1"/>
        <rFont val="Times New Roman"/>
      </rPr>
      <t>لا توجد أي قمامة أو أنقاض أو نفايات حول المبنى</t>
    </r>
  </si>
  <si>
    <r>
      <rPr>
        <b/>
        <sz val="12"/>
        <color theme="1"/>
        <rFont val="Times New Roman"/>
      </rPr>
      <t>يوجد فرد أمن على بوابة الوحدة / المركز.</t>
    </r>
  </si>
  <si>
    <r>
      <rPr>
        <b/>
        <sz val="12"/>
        <color theme="1"/>
        <rFont val="Times New Roman"/>
      </rPr>
      <t>تجهيزات و أثاث الوحدة / المركز سليم و سهل التنظيف / التطهير.</t>
    </r>
  </si>
  <si>
    <r>
      <rPr>
        <b/>
        <sz val="12"/>
        <color theme="1"/>
        <rFont val="Times New Roman"/>
      </rPr>
      <t>جميع النوافذ المطلة على الخارج عليها سلك معدنى ضيق الفتحات و سليم .</t>
    </r>
  </si>
  <si>
    <r>
      <rPr>
        <b/>
        <sz val="12"/>
        <color theme="1"/>
        <rFont val="Times New Roman"/>
      </rPr>
      <t>الوحدة  مجهزة لإستقبال المرضى الغير قادرين على الحركة من خلال : 
 يوجد بالمدخل منحدر 
 توجد مصعد في المباني متعددة الطوابق
 يوجد كرسي متحرك واحد على الأقل عند كل من : (المدخل الرئيسي - غرفة الطوارئ)</t>
    </r>
  </si>
  <si>
    <r>
      <rPr>
        <b/>
        <sz val="12"/>
        <color theme="1"/>
        <rFont val="Times New Roman"/>
      </rPr>
      <t>يتمتع المبنى من الداخل بما يكفي من الإنارة والتهوية.</t>
    </r>
  </si>
  <si>
    <r>
      <rPr>
        <b/>
        <sz val="12"/>
        <color theme="1"/>
        <rFont val="Times New Roman"/>
      </rPr>
      <t xml:space="preserve">توافر حوض مخصص  لغسيل الأيدي بأماكن تقديم الخدمة :
 معنون بحوض غسيل الأيدى
 مستلزمات غسيل الأيدى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ملصقات اللحظات الخمس و بوستر غسيل الأيدى 
 ( و فى حالة عدم توافر حوض يوضع بوستر الدلك بالكحول).</t>
    </r>
  </si>
  <si>
    <r>
      <rPr>
        <b/>
        <sz val="12"/>
        <color theme="1"/>
        <rFont val="Times New Roman"/>
      </rPr>
      <t>توفر الخصوصية عن طريق :
 غلق غرفة الكشف فور دخول المريض
 توفير بارافان عند سرير الكشف سهل التنظيف و التطهير طبقاً لتعليمات مكافحة العدوى.
 توافر ملاءة لتغطية المريض عند الكشف 
 النوافذ المطلة مباشرةً على الشوارع أو الساحات العامة، مغلقة بشكل جيد، ومغطاة بستائر ( أو أى وسيلة)  لضمان خصوصية  المرضى.</t>
    </r>
  </si>
  <si>
    <r>
      <rPr>
        <b/>
        <sz val="14"/>
        <color theme="1"/>
        <rFont val="Times New Roman"/>
      </rPr>
      <t>التراخيص :</t>
    </r>
  </si>
  <si>
    <r>
      <rPr>
        <b/>
        <sz val="12"/>
        <color theme="1"/>
        <rFont val="Times New Roman"/>
      </rPr>
      <t>تداول النفايات</t>
    </r>
  </si>
  <si>
    <r>
      <rPr>
        <b/>
        <sz val="12"/>
        <color theme="1"/>
        <rFont val="Times New Roman"/>
      </rPr>
      <t>المولد الكهربائي إذا كان ذو قدرة و سعة كافية</t>
    </r>
  </si>
  <si>
    <r>
      <rPr>
        <b/>
        <sz val="11"/>
        <color theme="1"/>
        <rFont val="SKR HEAD1"/>
      </rPr>
      <t>29. ا</t>
    </r>
  </si>
  <si>
    <r>
      <rPr>
        <b/>
        <sz val="12"/>
        <color theme="1"/>
        <rFont val="Times New Roman"/>
      </rPr>
      <t>المصعد ( إن وُجد)</t>
    </r>
  </si>
  <si>
    <r>
      <rPr>
        <b/>
        <sz val="12"/>
        <color theme="1"/>
        <rFont val="Times New Roman"/>
      </rPr>
      <t>الأشعة ( إن وُجد)</t>
    </r>
  </si>
  <si>
    <r>
      <rPr>
        <b/>
        <sz val="14"/>
        <color theme="1"/>
        <rFont val="Times New Roman"/>
      </rPr>
      <t>العقود :</t>
    </r>
  </si>
  <si>
    <r>
      <rPr>
        <b/>
        <sz val="12"/>
        <color theme="1"/>
        <rFont val="Times New Roman"/>
      </rPr>
      <t>الصيانة الدورية للأجهزة</t>
    </r>
  </si>
  <si>
    <r>
      <rPr>
        <b/>
        <sz val="12"/>
        <color theme="1"/>
        <rFont val="Times New Roman"/>
      </rPr>
      <t>النفايات</t>
    </r>
  </si>
  <si>
    <r>
      <rPr>
        <b/>
        <sz val="12"/>
        <color theme="1"/>
        <rFont val="Times New Roman"/>
      </rPr>
      <t>صورة من التعاقد مع العاملين( إن وُجد)</t>
    </r>
  </si>
  <si>
    <r>
      <rPr>
        <b/>
        <sz val="12"/>
        <color theme="1"/>
        <rFont val="Times New Roman"/>
      </rPr>
      <t>شركة الأمن و النظافة.</t>
    </r>
  </si>
  <si>
    <t>الإجمالى</t>
  </si>
  <si>
    <r>
      <rPr>
        <b/>
        <sz val="14"/>
        <color theme="1"/>
        <rFont val="Times New Roman"/>
      </rPr>
      <t>تقييم و مراقبة أداء الخدمات الصحية المقدمة بالمنشأة Customer Voice :</t>
    </r>
  </si>
  <si>
    <r>
      <rPr>
        <b/>
        <sz val="12"/>
        <color theme="1"/>
        <rFont val="Times New Roman"/>
      </rPr>
      <t>يوجد صندوق  / صناديق شكاوى للمنشأة: 
 العدد
 أماكن توزيع صندوق / صناديق الشكاوى</t>
    </r>
  </si>
  <si>
    <r>
      <rPr>
        <b/>
        <sz val="12"/>
        <color theme="1"/>
        <rFont val="Times New Roman"/>
      </rPr>
      <t xml:space="preserve">يوجد مصادر أخرى للشكاوى غير الصندوق:
 خط ساخن        
 منظومة الشكاوى مجلس الوزراء            
 شكاوى شفويا        </t>
    </r>
  </si>
  <si>
    <r>
      <rPr>
        <b/>
        <sz val="12"/>
        <color theme="1"/>
        <rFont val="Times New Roman"/>
      </rPr>
      <t xml:space="preserve">وجود آلية / نظام  لبحث الشكاوى </t>
    </r>
  </si>
  <si>
    <r>
      <rPr>
        <b/>
        <sz val="12"/>
        <color theme="1"/>
        <rFont val="Times New Roman"/>
      </rPr>
      <t>توجد لافتات / أسهم  واضحة تشير إلى مكان توافر صندوق / صناديق الشكاوى</t>
    </r>
  </si>
  <si>
    <r>
      <rPr>
        <b/>
        <sz val="12"/>
        <color theme="1"/>
        <rFont val="Times New Roman"/>
      </rPr>
      <t>توافر بوسترإعلان يوضح  أرقام و أماكن تلقى الشكاوى المتعلقة بالخدمات المقدمة.</t>
    </r>
  </si>
  <si>
    <r>
      <rPr>
        <b/>
        <sz val="12"/>
        <color theme="1"/>
        <rFont val="Times New Roman"/>
      </rPr>
      <t xml:space="preserve">يتم فتح  صندوق الشكاوى  بشكل دورى : 
 أسبوعى 
 شهرى </t>
    </r>
  </si>
  <si>
    <r>
      <rPr>
        <b/>
        <sz val="12"/>
        <color theme="1"/>
        <rFont val="Times New Roman"/>
      </rPr>
      <t>وجود محاضر فتح صندوق الشكاوى وحصر الشكاوى التى بداخله .</t>
    </r>
  </si>
  <si>
    <r>
      <rPr>
        <b/>
        <sz val="12"/>
        <color theme="1"/>
        <rFont val="Times New Roman"/>
      </rPr>
      <t>يوجد  تشكيل للجنة الشكاوى معتمد.</t>
    </r>
  </si>
  <si>
    <r>
      <rPr>
        <b/>
        <sz val="12"/>
        <color theme="1"/>
        <rFont val="Times New Roman"/>
      </rPr>
      <t>يتم إنعقاد اللجنة بشكل دورى .</t>
    </r>
  </si>
  <si>
    <r>
      <rPr>
        <b/>
        <sz val="12"/>
        <color theme="1"/>
        <rFont val="Times New Roman"/>
      </rPr>
      <t>يوجد محاضر لتوثيق إنعقاد اللجنة.</t>
    </r>
  </si>
  <si>
    <r>
      <rPr>
        <b/>
        <sz val="12"/>
        <color theme="1"/>
        <rFont val="Times New Roman"/>
      </rPr>
      <t>توافر نموذج إبلاغ عن شكوى .</t>
    </r>
  </si>
  <si>
    <r>
      <rPr>
        <b/>
        <sz val="12"/>
        <color theme="1"/>
        <rFont val="Times New Roman"/>
      </rPr>
      <t xml:space="preserve">توافر سجل عن  الشكاوى يشمل العناصر التالية على الأقل: 
 إسم الشاكى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رقم التواصل 
 الرقم القومى
 مصدر الشكوى
 محتوى الشكوى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طرق حل الشكوى
 إبلاغ الشاكى بحل الشكوى.</t>
    </r>
  </si>
  <si>
    <r>
      <rPr>
        <b/>
        <sz val="12"/>
        <color theme="1"/>
        <rFont val="Times New Roman"/>
      </rPr>
      <t>توافر نماذج إستبيان رضاء المرضى عن أداء الخدمات المقدمة / 3 أشهر.</t>
    </r>
  </si>
  <si>
    <r>
      <rPr>
        <b/>
        <sz val="12"/>
        <color theme="1"/>
        <rFont val="Times New Roman"/>
      </rPr>
      <t xml:space="preserve">يتم تحليل نتائج إستبيان رضاء المرضى. </t>
    </r>
  </si>
  <si>
    <r>
      <rPr>
        <b/>
        <sz val="12"/>
        <color theme="1"/>
        <rFont val="Times New Roman"/>
      </rPr>
      <t xml:space="preserve">وجود  إجراءات متخذة  وموثقة لتحسين نتائج الإستبيان. </t>
    </r>
  </si>
  <si>
    <r>
      <rPr>
        <b/>
        <sz val="14"/>
        <color theme="1"/>
        <rFont val="Times New Roman"/>
      </rPr>
      <t>السلامة البيئية:</t>
    </r>
  </si>
  <si>
    <r>
      <rPr>
        <b/>
        <sz val="12"/>
        <color theme="1"/>
        <rFont val="Times New Roman"/>
      </rPr>
      <t>غرف الفحص جيدة التهوية والإضاءة</t>
    </r>
  </si>
  <si>
    <r>
      <rPr>
        <b/>
        <sz val="12"/>
        <color theme="1"/>
        <rFont val="Times New Roman"/>
      </rPr>
      <t>لا توجد سلالم مكسورة.</t>
    </r>
  </si>
  <si>
    <r>
      <rPr>
        <b/>
        <sz val="12"/>
        <color theme="1"/>
        <rFont val="Times New Roman"/>
      </rPr>
      <t>الأرضيات سليمة و غير زلقة</t>
    </r>
  </si>
  <si>
    <r>
      <rPr>
        <b/>
        <sz val="12"/>
        <color theme="1"/>
        <rFont val="Times New Roman"/>
      </rPr>
      <t>الوحدة  مزودة بوسائل تغذيتها بالمياه النقية بصفة مستمرة</t>
    </r>
  </si>
  <si>
    <r>
      <rPr>
        <b/>
        <sz val="12"/>
        <color theme="1"/>
        <rFont val="Times New Roman"/>
      </rPr>
      <t>الوحدة مزودة بوسائل الصرف الصحى المناسبة و السليمة</t>
    </r>
  </si>
  <si>
    <r>
      <rPr>
        <b/>
        <sz val="12"/>
        <color theme="1"/>
        <rFont val="Times New Roman"/>
      </rPr>
      <t>تزود الوحدة بالوسائل والأدوات الصحية اللازمة للتخلص من النفايات</t>
    </r>
  </si>
  <si>
    <r>
      <rPr>
        <b/>
        <sz val="12"/>
        <color theme="1"/>
        <rFont val="Times New Roman"/>
      </rPr>
      <t>تزود الوحدة  بالأجهزة اللازمة لإطفاء الحريق</t>
    </r>
  </si>
  <si>
    <r>
      <rPr>
        <b/>
        <sz val="12"/>
        <color theme="1"/>
        <rFont val="Times New Roman"/>
      </rPr>
      <t>شهادة من إدارة الدفاع المدنى والحريق بتوفر الإشتراطات اللازمة لحماية المركز من الحريق</t>
    </r>
  </si>
  <si>
    <r>
      <rPr>
        <b/>
        <sz val="12"/>
        <color theme="1"/>
        <rFont val="Times New Roman"/>
      </rPr>
      <t xml:space="preserve">شهادة تداول المواد والنفايات الخطرة </t>
    </r>
  </si>
  <si>
    <r>
      <rPr>
        <b/>
        <sz val="12"/>
        <color theme="1"/>
        <rFont val="Times New Roman"/>
      </rPr>
      <t>مخارج التيار الكهربائي سليمة وآمنة, ولا توجد أسلاك مكشوفة بالحوائط أو الأجهزة</t>
    </r>
  </si>
  <si>
    <r>
      <rPr>
        <b/>
        <sz val="12"/>
        <color theme="1"/>
        <rFont val="Times New Roman"/>
      </rPr>
      <t>لوح الكهرباء معرفة من الخارج  بوضع ملصق خطر الكهرباء ومؤمنة - مغلقة ومعرفة من الداخل (محدد بها الأماكن التي يخدمها كل مفتاح)</t>
    </r>
  </si>
  <si>
    <r>
      <rPr>
        <b/>
        <sz val="12"/>
        <color theme="1"/>
        <rFont val="Times New Roman"/>
      </rPr>
      <t>طفايات الحريق موضوعة في أماكن واضحة ، ويمكن الوصول إليها بسهولة ( على إرتفاع متر و نصف ).</t>
    </r>
  </si>
  <si>
    <r>
      <rPr>
        <b/>
        <sz val="12"/>
        <color theme="1"/>
        <rFont val="Times New Roman"/>
      </rPr>
      <t>مدون على كل طفاية تاريخ ملؤها و تاريخ الصلاحية , و تواريخ المرور الدورى عليها.</t>
    </r>
  </si>
  <si>
    <r>
      <rPr>
        <b/>
        <sz val="12"/>
        <color theme="1"/>
        <rFont val="Times New Roman"/>
      </rPr>
      <t>ملصقات PASS &amp; RACE بجوار كل طفاية.</t>
    </r>
  </si>
  <si>
    <r>
      <rPr>
        <b/>
        <sz val="12"/>
        <color theme="1"/>
        <rFont val="Times New Roman"/>
      </rPr>
      <t>العاملون مدربون على كيفية التعامل مع طفايات الحريق</t>
    </r>
  </si>
  <si>
    <r>
      <rPr>
        <b/>
        <sz val="12"/>
        <color theme="1"/>
        <rFont val="Times New Roman"/>
      </rPr>
      <t>توجد قائمة / سجل شاملة لجميع الأجهزة الطبية بالوحدة، تشمل ما يلي على الأقل:
- إسم الجهاز، والموديل                                          - إسم الشركة المصنِّعة
- تاريخ التصنيع                                                  - جدول الصيانة
- الرقم المسلسل                                          - تاريخ توافره بالوحدة</t>
    </r>
  </si>
  <si>
    <r>
      <rPr>
        <b/>
        <sz val="12"/>
        <color theme="1"/>
        <rFont val="Times New Roman"/>
      </rPr>
      <t>كارت تعريف بالجهاز وكارت الصيانة مرفق مع كل جهاز.</t>
    </r>
  </si>
  <si>
    <r>
      <rPr>
        <b/>
        <sz val="12"/>
        <color theme="1"/>
        <rFont val="Times New Roman"/>
      </rPr>
      <t>سجل للصيانة الوقائية للمبنى، على الأقل زيارة واحدة كل ستة أشهر( من مسئول الصيانة) للتأكد من سلامة عمليات المياه والتهوية والصرف الصحي .</t>
    </r>
  </si>
  <si>
    <r>
      <rPr>
        <b/>
        <sz val="14"/>
        <color theme="1"/>
        <rFont val="Times New Roman"/>
      </rPr>
      <t>المولد :</t>
    </r>
  </si>
  <si>
    <r>
      <rPr>
        <b/>
        <sz val="12"/>
        <color theme="1"/>
        <rFont val="Times New Roman"/>
      </rPr>
      <t>بالوحدة / المركز مولد كهربائي سليم .</t>
    </r>
  </si>
  <si>
    <r>
      <rPr>
        <b/>
        <sz val="12"/>
        <color theme="1"/>
        <rFont val="Times New Roman"/>
      </rPr>
      <t>التأكد من نظافة السطح الخارجي للمولد/مع وجود رمل أسفل مخزون السولار لتشرب السولار في حال تسربه.</t>
    </r>
  </si>
  <si>
    <r>
      <rPr>
        <b/>
        <sz val="14"/>
        <color theme="1"/>
        <rFont val="Times New Roman"/>
      </rPr>
      <t>لجان الوحدة / المركز:</t>
    </r>
  </si>
  <si>
    <r>
      <rPr>
        <b/>
        <sz val="12"/>
        <color theme="1"/>
        <rFont val="Times New Roman"/>
      </rPr>
      <t xml:space="preserve">قرار تشكيل كل لجنة محدث و معتمد و لكل تشكيل مرجعية ( على الأقل): 
 لجنة الجودة و سلامة المرضى و تحسين الأداء.
 لجنة الدواء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لجنة مكافحة العدوى 
 لجنة السلامة البيئية</t>
    </r>
  </si>
  <si>
    <r>
      <rPr>
        <b/>
        <sz val="12"/>
        <color theme="1"/>
        <rFont val="Times New Roman"/>
      </rPr>
      <t>وجود مهام ومسئوليات لكل لجنة.</t>
    </r>
  </si>
  <si>
    <r>
      <rPr>
        <b/>
        <sz val="12"/>
        <color theme="1"/>
        <rFont val="Times New Roman"/>
      </rPr>
      <t>محاضر إجتماع كل لجنة بصفة دورية و تشمل : 
توقيع الحضور فعلياً – أجندة الإجتماع و ما تم مناقشته – التوصيات و تشمل المسئول عن تنفيذ كل توصية – المدة الزمنية للتنفيذ – معوقات عدم التنفيذ.</t>
    </r>
  </si>
  <si>
    <t xml:space="preserve">الإجمالى </t>
  </si>
  <si>
    <r>
      <rPr>
        <b/>
        <sz val="14"/>
        <color theme="1"/>
        <rFont val="Times New Roman"/>
      </rPr>
      <t>السياسات و الإجراءات / السجلات التمريضية :</t>
    </r>
  </si>
  <si>
    <r>
      <rPr>
        <b/>
        <sz val="12"/>
        <color theme="1"/>
        <rFont val="Times New Roman"/>
      </rPr>
      <t>يوجد السياسات و الإجراءات الآتية محدثة و مفعلة :  
سياسات الجودة على سبيل المثال: 
السياسات العامة لسلامة و أمان المريض - إدارة و سلامة الدواء – الجودة و تحسين الأداء – الرعاية المتمركزة حول المريض – الرعاية المتكاملة - ........ إلخ.</t>
    </r>
  </si>
  <si>
    <r>
      <rPr>
        <b/>
        <sz val="12"/>
        <color theme="1"/>
        <rFont val="Times New Roman"/>
      </rPr>
      <t>سياسات مكافحة العدوى على سبيل المثال:
غسيل و تطهير الأيدى – سياسات التعقيم – التعامل مع المفروشات- الواقيات الشخصية – الوخز الآمن –فصل النفايات – تطهير البيئة - ...............إلخ.</t>
    </r>
  </si>
  <si>
    <r>
      <rPr>
        <b/>
        <sz val="12"/>
        <color theme="1"/>
        <rFont val="Times New Roman"/>
      </rPr>
      <t>الفريق الطبى مدرب على هذه السياسات مع التوثيق بسجل التدريب.</t>
    </r>
  </si>
  <si>
    <r>
      <rPr>
        <b/>
        <sz val="14"/>
        <color theme="1"/>
        <rFont val="Times New Roman"/>
      </rPr>
      <t>السجلات التمريضية :</t>
    </r>
  </si>
  <si>
    <r>
      <rPr>
        <b/>
        <sz val="12"/>
        <color theme="1"/>
        <rFont val="Times New Roman"/>
      </rPr>
      <t>السجلات التمريضية ( توزيع مهام – تسليم و تسلم ..... إلخ).( مع رئيسة التمريض)</t>
    </r>
  </si>
  <si>
    <r>
      <rPr>
        <b/>
        <sz val="12"/>
        <color theme="1"/>
        <rFont val="Times New Roman"/>
      </rPr>
      <t>سجل التدريب.( مع مسئول التدريب).</t>
    </r>
  </si>
  <si>
    <r>
      <rPr>
        <b/>
        <sz val="14"/>
        <color theme="1"/>
        <rFont val="Times New Roman"/>
      </rPr>
      <t>أدلة  العمل الإكلينيكية / البروتوكول:</t>
    </r>
  </si>
  <si>
    <r>
      <rPr>
        <b/>
        <sz val="12"/>
        <color theme="1"/>
        <rFont val="Times New Roman"/>
      </rPr>
      <t>تتوافر أدلة  العمل الإكلينيكية المحدثة بالعيادات</t>
    </r>
  </si>
  <si>
    <r>
      <rPr>
        <b/>
        <sz val="12"/>
        <color theme="1"/>
        <rFont val="Times New Roman"/>
      </rPr>
      <t>الأطباء  مدربون  على أدلة  العمل الإكلينيكية</t>
    </r>
  </si>
  <si>
    <r>
      <rPr>
        <b/>
        <sz val="12"/>
        <color theme="1"/>
        <rFont val="Times New Roman"/>
      </rPr>
      <t>برتوكول الألم</t>
    </r>
  </si>
  <si>
    <r>
      <rPr>
        <b/>
        <sz val="12"/>
        <color theme="1"/>
        <rFont val="Times New Roman"/>
      </rPr>
      <t>يتم توثيق التدريب بسجل التدريب.</t>
    </r>
  </si>
  <si>
    <r>
      <rPr>
        <b/>
        <sz val="14"/>
        <color theme="1"/>
        <rFont val="Times New Roman"/>
      </rPr>
      <t>القوائم  بالعيادات:</t>
    </r>
  </si>
  <si>
    <r>
      <rPr>
        <b/>
        <sz val="12"/>
        <color theme="1"/>
        <rFont val="Times New Roman"/>
      </rPr>
      <t>قائمة بتجهيزات كل عيادة طبقاً لتعليمات الرعاية الأساسية ( معتمدة).</t>
    </r>
  </si>
  <si>
    <r>
      <rPr>
        <b/>
        <sz val="12"/>
        <color theme="1"/>
        <rFont val="Times New Roman"/>
      </rPr>
      <t>قائمة معلنة ومعتمدة بالحالات التي يجب إحالتها طبقاً لأدلة العمل الإكلينيكية.</t>
    </r>
  </si>
  <si>
    <r>
      <rPr>
        <b/>
        <sz val="12"/>
        <color theme="1"/>
        <rFont val="Times New Roman"/>
      </rPr>
      <t>قائمة معلنة ومعتمدة بمستشفيات الإحالة المعتمدة بها أرقام تليفونات المستشفى</t>
    </r>
  </si>
  <si>
    <r>
      <rPr>
        <b/>
        <sz val="12"/>
        <color theme="1"/>
        <rFont val="Times New Roman"/>
      </rPr>
      <t>قائمة بالنتائج الحرجة ( المعملية – الأشعة – الفسيولوجية) مدون بها المسئول و المرجع العلمى  و معتمدة</t>
    </r>
  </si>
  <si>
    <r>
      <rPr>
        <b/>
        <sz val="12"/>
        <color theme="1"/>
        <rFont val="Times New Roman"/>
      </rPr>
      <t>قائمة بالإختصارات التشخيصية المسموح بها.</t>
    </r>
  </si>
  <si>
    <r>
      <rPr>
        <b/>
        <sz val="12"/>
        <color theme="1"/>
        <rFont val="Times New Roman"/>
      </rPr>
      <t>قائمة بالإختصارات الدوائية  الغيرمسموح بها.</t>
    </r>
  </si>
  <si>
    <r>
      <rPr>
        <b/>
        <sz val="12"/>
        <color theme="1"/>
        <rFont val="Times New Roman"/>
      </rPr>
      <t>قائمة بالإختصارات للأوامر الطبية  الغير مسموح بها.</t>
    </r>
  </si>
  <si>
    <r>
      <rPr>
        <b/>
        <sz val="12"/>
        <color theme="1"/>
        <rFont val="Times New Roman"/>
      </rPr>
      <t>لا يتم كتابة أي إختصارات في الموافقة المبنية علي المعرفة ( إقرار الموافقة ) أو أي تقرير طبي يعطي للمريض</t>
    </r>
  </si>
  <si>
    <r>
      <rPr>
        <b/>
        <sz val="12"/>
        <color theme="1"/>
        <rFont val="Times New Roman"/>
      </rPr>
      <t>قائمة التحقق عند القيام بأى إجراء تداخلى</t>
    </r>
  </si>
  <si>
    <r>
      <rPr>
        <b/>
        <sz val="14"/>
        <color theme="1"/>
        <rFont val="Times New Roman"/>
      </rPr>
      <t xml:space="preserve">التسجيل الطبى :  </t>
    </r>
  </si>
  <si>
    <r>
      <rPr>
        <b/>
        <sz val="14"/>
        <color theme="1"/>
        <rFont val="Times New Roman"/>
      </rPr>
      <t>الملفات الطبية:</t>
    </r>
  </si>
  <si>
    <r>
      <rPr>
        <b/>
        <sz val="12"/>
        <color theme="1"/>
        <rFont val="Times New Roman"/>
      </rPr>
      <t>كل  صفحة من الملف الطبى تحتوى على إسم المريض الرباعى و الرقم الطبى.</t>
    </r>
  </si>
  <si>
    <r>
      <rPr>
        <b/>
        <sz val="12"/>
        <color theme="1"/>
        <rFont val="Times New Roman"/>
      </rPr>
      <t>يتم إستكمال جميع نماذج الملف الطبى و التمريضى بدقة</t>
    </r>
  </si>
  <si>
    <r>
      <rPr>
        <b/>
        <sz val="12"/>
        <color theme="1"/>
        <rFont val="Times New Roman"/>
      </rPr>
      <t>تحديد القائم بكتابة مدخلات الملف الطبي بذكر إسمه الثلاثى والمسمى الوظيفي له بوضوح</t>
    </r>
  </si>
  <si>
    <r>
      <rPr>
        <b/>
        <sz val="12"/>
        <color theme="1"/>
        <rFont val="Times New Roman"/>
      </rPr>
      <t xml:space="preserve">يلتزم الطبيب بتسجيل العلاج والرسائل التثقيفية  في المكان المحدد لذلك </t>
    </r>
  </si>
  <si>
    <r>
      <rPr>
        <b/>
        <sz val="12"/>
        <color theme="1"/>
        <rFont val="Times New Roman"/>
      </rPr>
      <t xml:space="preserve">كافة مدخلات الملف الطبي واضحة و مقروءة و موثقة بالتاريخ و الساعة </t>
    </r>
  </si>
  <si>
    <r>
      <rPr>
        <b/>
        <sz val="14"/>
        <color theme="1"/>
        <rFont val="Times New Roman"/>
      </rPr>
      <t>غرفة الملفات:</t>
    </r>
  </si>
  <si>
    <r>
      <rPr>
        <b/>
        <sz val="12"/>
        <color theme="1"/>
        <rFont val="Times New Roman"/>
      </rPr>
      <t>لافتة معتمدة و معلنة (ممنوع الدخول لغير العاملين بغرفة الملفات) .</t>
    </r>
  </si>
  <si>
    <r>
      <rPr>
        <b/>
        <sz val="12"/>
        <color theme="1"/>
        <rFont val="Times New Roman"/>
      </rPr>
      <t>قائمة  معتمدة و معلنة بالمصرح لهم بدخول غرفة الملفات.</t>
    </r>
  </si>
  <si>
    <r>
      <rPr>
        <b/>
        <sz val="12"/>
        <color theme="1"/>
        <rFont val="Times New Roman"/>
      </rPr>
      <t>الغرفه مغلقة ومؤمنة و نظيفة.</t>
    </r>
  </si>
  <si>
    <r>
      <rPr>
        <b/>
        <sz val="12"/>
        <color theme="1"/>
        <rFont val="Times New Roman"/>
      </rPr>
      <t>وجود بيان ديموجرافى و يشمل :
 عدد السكان التي تخدمها الوحدة / المركز.
 عدد الأسر.
 إجمالي عدد الملفات
 عدد الملفات المفعلة
 عدد الملفات الراكدة
 عدد الملفات المترددة خلال الشهر</t>
    </r>
  </si>
  <si>
    <r>
      <rPr>
        <b/>
        <sz val="12"/>
        <color theme="1"/>
        <rFont val="Times New Roman"/>
      </rPr>
      <t>وجود قائمة بالأكواد اللونية  لتكويد الملفات</t>
    </r>
  </si>
  <si>
    <r>
      <rPr>
        <b/>
        <sz val="12"/>
        <color theme="1"/>
        <rFont val="Times New Roman"/>
      </rPr>
      <t xml:space="preserve">وجود كارت تعريف و ترقيم لكل الأرفف بأرقام الملفات. </t>
    </r>
  </si>
  <si>
    <r>
      <rPr>
        <b/>
        <sz val="12"/>
        <color theme="1"/>
        <rFont val="Times New Roman"/>
      </rPr>
      <t>الملفات مرتبة و منظمة علي الأرفف ( الملفات و الرفف نظيفة).</t>
    </r>
  </si>
  <si>
    <r>
      <rPr>
        <b/>
        <sz val="12"/>
        <color theme="1"/>
        <rFont val="Times New Roman"/>
      </rPr>
      <t>جميع  نماذج الملف الطبى متوفرة و لا توجد نواقص بها, و يضاف للملف الطبى النماذج التالية:
 نماذج (إستمارات) الإحالة
 نموذج النتائج الحرجة بملف المريض
 نموذج الأوامر الشفهية و التليفونية بملف المريض
 نماذج التقييمات التمريضية و منها فحص و تقييم المرضى المعرضين للسقوط
 نماذج (إستمارات) موافقة المريض</t>
    </r>
  </si>
  <si>
    <r>
      <rPr>
        <b/>
        <sz val="12"/>
        <color theme="1"/>
        <rFont val="Times New Roman"/>
      </rPr>
      <t>إستيفاء التسجيل الكامل  بجميع نماذج الملفات الطبية ( مراجعة 5% من إجمالى عدد  الملفات).</t>
    </r>
  </si>
  <si>
    <r>
      <rPr>
        <b/>
        <sz val="12"/>
        <color theme="1"/>
        <rFont val="Times New Roman"/>
      </rPr>
      <t xml:space="preserve">توافر السجلات الآتية:
 سجل قيد الأسر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سجل حركة الملف
 سجل الحصر السكانى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سجل الأمراض المكتشفة
 سجل الإحالة.</t>
    </r>
  </si>
  <si>
    <r>
      <rPr>
        <b/>
        <sz val="12"/>
        <color theme="1"/>
        <rFont val="Times New Roman"/>
      </rPr>
      <t>توافر إستمارات الإحالة بالملف الطبي والتأكد من عمل التغذية الراجعة.</t>
    </r>
  </si>
  <si>
    <r>
      <rPr>
        <b/>
        <sz val="14"/>
        <color theme="1"/>
        <rFont val="Times New Roman"/>
      </rPr>
      <t>الطوارئ:</t>
    </r>
  </si>
  <si>
    <r>
      <rPr>
        <b/>
        <sz val="12"/>
        <color theme="1"/>
        <rFont val="Times New Roman"/>
      </rPr>
      <t>قائمة بتجهيزات عيادة الطوارئ طبقاً لتعليمات الرعاية الأساسية ( معتمدة).</t>
    </r>
  </si>
  <si>
    <r>
      <rPr>
        <b/>
        <sz val="12"/>
        <color theme="1"/>
        <rFont val="Times New Roman"/>
      </rPr>
      <t xml:space="preserve">يوجد غرفة للطواريء مجهزة بشكل كاف للتعامل مع الحالات الطارئة: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 جهاز إستنشاق دوائي Nebulizer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 مصدر للأكسجين (أسطوانات)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أمبوباج للبالغين و الأطفال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بوردة لإجراء الإنعاش القلبى الرئوى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شفاط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كشاف كهربائى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شنطة طوارئ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دولاب طوارئ
تجهيزات أخرى: 
 سرير كشف سليم 
 ملاءات ذات الإستخدام الواحد – أو ملاءات قماشية بأعداد كافية
 بارافان سهل التنظيف و التطهير طبقاً لتعليمات مكافحة العدوى
 جهاز ضغط و سماعة للبالغين و الأطفال
 عربة غيار / حاوية / علبة بها مستلزمات الغيار على الجروح.</t>
    </r>
  </si>
  <si>
    <r>
      <rPr>
        <b/>
        <sz val="12"/>
        <color theme="1"/>
        <rFont val="Times New Roman"/>
      </rPr>
      <t>أسطوانات ألأكسجين مدون عليها تاريخ الملء و تاريخ الإستخدام ويتم توثيق إختبارها يوميا.</t>
    </r>
  </si>
  <si>
    <r>
      <rPr>
        <b/>
        <sz val="12"/>
        <color theme="1"/>
        <rFont val="Times New Roman"/>
      </rPr>
      <t xml:space="preserve">تحتوى شنطة الطوارئ على الآتى: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	توجد قائمة تحدد مكونات وترتيب شنطة الطوارئ 
 	تتوفر أجهزة ومستلزمات الطوارئ وتكون ملائمة للمرحلة العمرية  </t>
    </r>
  </si>
  <si>
    <r>
      <rPr>
        <b/>
        <sz val="12"/>
        <color theme="1"/>
        <rFont val="Times New Roman"/>
      </rPr>
      <t>شنطة الطوارئ مؤمنة.</t>
    </r>
  </si>
  <si>
    <r>
      <rPr>
        <b/>
        <sz val="12"/>
        <color theme="1"/>
        <rFont val="Times New Roman"/>
      </rPr>
      <t>يتم إستعاضة الأدوية والمستلزمات المستخدمة من شنطة الطوارئ فور إستخدامها مع التوثيق</t>
    </r>
  </si>
  <si>
    <r>
      <rPr>
        <b/>
        <sz val="12"/>
        <color theme="1"/>
        <rFont val="Times New Roman"/>
      </rPr>
      <t>التحقق من معدات ومستلزمات الطوارئ یومیاً للتأكد من توافرھا وجاھزیتھا للإستخدام مع التوثيق.</t>
    </r>
  </si>
  <si>
    <r>
      <rPr>
        <b/>
        <sz val="12"/>
        <color theme="1"/>
        <rFont val="Times New Roman"/>
      </rPr>
      <t>يقوم  صيدلي بالمرور على شنطة الطوارئ  و دولاب الأدوية و يتم توثيق ذلك</t>
    </r>
  </si>
  <si>
    <r>
      <rPr>
        <b/>
        <sz val="12"/>
        <color theme="1"/>
        <rFont val="Times New Roman"/>
      </rPr>
      <t xml:space="preserve">أدوية الطوارئ متوفرة و آمنة  </t>
    </r>
  </si>
  <si>
    <r>
      <rPr>
        <b/>
        <sz val="12"/>
        <color theme="1"/>
        <rFont val="Times New Roman"/>
      </rPr>
      <t>التمريض بالطوارئ مدرب على الإنعاش القلبى الرئوى الأساسى</t>
    </r>
  </si>
  <si>
    <r>
      <rPr>
        <b/>
        <sz val="12"/>
        <color theme="1"/>
        <rFont val="Times New Roman"/>
      </rPr>
      <t xml:space="preserve">الأطباء مدربون على الإنعاش القلبى الرئوى المتقدم . </t>
    </r>
  </si>
  <si>
    <r>
      <rPr>
        <b/>
        <sz val="12"/>
        <color theme="1"/>
        <rFont val="Times New Roman"/>
      </rPr>
      <t>وجود ما يفيدعمل تجربة محاكاة على الإفاقة القلبية مرة سنويا علي الاقل</t>
    </r>
  </si>
  <si>
    <r>
      <rPr>
        <b/>
        <sz val="12"/>
        <color theme="1"/>
        <rFont val="Times New Roman"/>
      </rPr>
      <t>يتم فصل و تمييز الأدوية عالية الخطورة – عالية التركيز – المتشابهة فى الشكل و النطق</t>
    </r>
  </si>
  <si>
    <r>
      <rPr>
        <b/>
        <sz val="12"/>
        <color theme="1"/>
        <rFont val="Times New Roman"/>
      </rPr>
      <t xml:space="preserve">دولاب الطوارئ: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توافر الأدوية و عدم وجود أى نواقص 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قائمة بالأدوية – أدوية عالية الخطورة – متشابهة فى الشكل و النطق – عالية التركيز.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تعليمات معلنة و معتمدة بكيفية التعامل مع الأدوية عالية التركيز مثل الديباكين.
 ملاحظة ترتيب دولاب الأدوية , و نظافته من الخارج و الداخل.</t>
    </r>
  </si>
  <si>
    <r>
      <rPr>
        <b/>
        <sz val="12"/>
        <color theme="1"/>
        <rFont val="Times New Roman"/>
      </rPr>
      <t xml:space="preserve">فصل و تمييز الأدوية  الآتية بدولاب الطوارئ و شنطة الطوارئ: 
 عالية الخطورة : اللون الأحمر
 عالية التركيز : اللون الأزرق
 المتشابهة فى الشكل : اللون الأخضر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المتشابهة فى النطق : اللون الأصفر</t>
    </r>
  </si>
  <si>
    <r>
      <rPr>
        <b/>
        <sz val="12"/>
        <color theme="1"/>
        <rFont val="Times New Roman"/>
      </rPr>
      <t>تحديد وقت معين لإستعاضة الأدوية يومياً ( وقت الإستعاضة مدون على قائمة الأدوية بالدولاب).</t>
    </r>
  </si>
  <si>
    <r>
      <rPr>
        <b/>
        <sz val="12"/>
        <color theme="1"/>
        <rFont val="Times New Roman"/>
      </rPr>
      <t>عدم وجود أدوية أو مستلزمات منتهية الصلاحية</t>
    </r>
  </si>
  <si>
    <r>
      <rPr>
        <b/>
        <sz val="12"/>
        <color theme="1"/>
        <rFont val="Times New Roman"/>
      </rPr>
      <t>تعريف الأدوية المفتوحة (تاريخ وساعه الفتح وتاريخ الصلاحية بعد الفتح وإسم القائم بالفتح ثلاثي).</t>
    </r>
  </si>
  <si>
    <r>
      <rPr>
        <b/>
        <sz val="12"/>
        <color theme="1"/>
        <rFont val="Times New Roman"/>
      </rPr>
      <t>يوجد شنطة  الزيارات المنزلية ( لمتابعة الأم و الطفل فى زيارات النفاس)</t>
    </r>
  </si>
  <si>
    <r>
      <rPr>
        <b/>
        <sz val="14"/>
        <color theme="1"/>
        <rFont val="Times New Roman"/>
      </rPr>
      <t xml:space="preserve">سجلات خاصة بالطوارئ: </t>
    </r>
  </si>
  <si>
    <r>
      <rPr>
        <b/>
        <sz val="12"/>
        <color theme="1"/>
        <rFont val="Times New Roman"/>
      </rPr>
      <t xml:space="preserve">سجل الطوارئ و يحتوى على البيانات التالية: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الرقم المسلسل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التاريخ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الإسم الرباعي للمريض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رقم الملف/ التذكرة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سن المريض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ساعة الدخول للطوارئ – و ساعة الخروج من الطوارئ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الرقم القومي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الحالة عند الوصول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وسيلة الوصول ( سيارة إسعاف – مترجلاً)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العلامات الحيوية عند الوصول – و العلامات الحيوية عند الخروج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التشخيص/العلاج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الحالة عند الخروج (تحسن- إحالة- وفاة) 
 إسم الفريق الطبى ( الطبيب والممرضة )  ثلاثياً أمام كل حالة.</t>
    </r>
  </si>
  <si>
    <r>
      <rPr>
        <b/>
        <sz val="12"/>
        <color theme="1"/>
        <rFont val="Times New Roman"/>
      </rPr>
      <t>سجل الغيار</t>
    </r>
  </si>
  <si>
    <r>
      <rPr>
        <b/>
        <sz val="12"/>
        <color theme="1"/>
        <rFont val="Times New Roman"/>
      </rPr>
      <t>سجل مجهول الهوية ( م - مجهول رقم .... – رقم التذكرة – النوع – الحالة عند الوصول – تاريخ و ساعة الوصول).</t>
    </r>
  </si>
  <si>
    <r>
      <rPr>
        <b/>
        <sz val="12"/>
        <color theme="1"/>
        <rFont val="Times New Roman"/>
      </rPr>
      <t>سجل الأمصال إذا كانت الخدمة متوفرة بالطوارئ مثل إعطاء التيتانوس الجراحى و تيتانوس الحوامل ...... إلخ.</t>
    </r>
  </si>
  <si>
    <r>
      <rPr>
        <b/>
        <sz val="12"/>
        <color theme="1"/>
        <rFont val="Times New Roman"/>
      </rPr>
      <t>سجل النتائج الحرجة و يشمل الآتى:
م- التاريخ- الساعة - إسم المريض رباعي- رقم الملف الطبي- التحليل أو الفحص المطلوب - النتيجة الحرجة – ساعة  ظهورالنتيجة الحرجة -  ساعة الإبلاغ -  إسم المبلغ ثلاثي - إسم متلقي النتيجة ثلاثى -  العيادة المبلغ إليها-  وسيلة الإبلاغ -  الإجراء المتخذ من  الطبيب سواء (قبول-رفض - إعادة) - الصعوبات التي تم مواجهتها عند الإبلاغ.</t>
    </r>
  </si>
  <si>
    <r>
      <rPr>
        <b/>
        <sz val="12"/>
        <color theme="1"/>
        <rFont val="Times New Roman"/>
      </rPr>
      <t>سجل الأوامر الشفهية و التليفونية</t>
    </r>
  </si>
  <si>
    <r>
      <rPr>
        <b/>
        <sz val="12"/>
        <color theme="1"/>
        <rFont val="Times New Roman"/>
      </rPr>
      <t xml:space="preserve">سجل توثيق مرور الصيادلة على دولاب الأدوية و شنطة الطوارئ. </t>
    </r>
  </si>
  <si>
    <r>
      <rPr>
        <b/>
        <sz val="12"/>
        <color theme="1"/>
        <rFont val="Times New Roman"/>
      </rPr>
      <t>سجل الأعطال</t>
    </r>
  </si>
  <si>
    <r>
      <rPr>
        <b/>
        <sz val="12"/>
        <color theme="1"/>
        <rFont val="Times New Roman"/>
      </rPr>
      <t>سجل الصيانة الدورية</t>
    </r>
  </si>
  <si>
    <r>
      <rPr>
        <b/>
        <sz val="12"/>
        <color theme="1"/>
        <rFont val="Times New Roman"/>
      </rPr>
      <t>سجل تسليم النفايات لمسئول غرفة النفايات.</t>
    </r>
  </si>
  <si>
    <r>
      <rPr>
        <b/>
        <sz val="12"/>
        <color theme="1"/>
        <rFont val="Times New Roman"/>
      </rPr>
      <t>نموذج تذكرة الطوارئ.</t>
    </r>
  </si>
  <si>
    <r>
      <rPr>
        <b/>
        <sz val="12"/>
        <color theme="1"/>
        <rFont val="Times New Roman"/>
      </rPr>
      <t>نماذج التقييمات التمريضية و منها فحص و تقييم المرضى المعرضين للسقوط</t>
    </r>
  </si>
  <si>
    <r>
      <rPr>
        <b/>
        <sz val="14"/>
        <color theme="1"/>
        <rFont val="Times New Roman"/>
      </rPr>
      <t xml:space="preserve">غرفة التطعيمات: </t>
    </r>
  </si>
  <si>
    <r>
      <rPr>
        <b/>
        <sz val="12"/>
        <color rgb="FF000000"/>
        <rFont val="Times New Roman"/>
      </rPr>
      <t xml:space="preserve">موقع مناسب للتطعيمات: 
 يُفضل دور أرضي   - مكان منفصل (لو أمكن) 
 مدخل  و مخرج لغرفة التطعيمات
</t>
    </r>
    <r>
      <rPr>
        <b/>
        <sz val="12"/>
        <color rgb="FF000000"/>
        <rFont val="Times New Roman"/>
      </rPr>
      <t></t>
    </r>
    <r>
      <rPr>
        <b/>
        <sz val="12"/>
        <color rgb="FF000000"/>
        <rFont val="Times New Roman"/>
      </rPr>
      <t xml:space="preserve"> ومكان إنتظار خاص</t>
    </r>
    <r>
      <rPr>
        <b/>
        <sz val="13"/>
        <color rgb="FF000000"/>
        <rFont val="Times New Roman"/>
      </rPr>
      <t xml:space="preserve">  </t>
    </r>
  </si>
  <si>
    <r>
      <rPr>
        <b/>
        <sz val="12"/>
        <color theme="1"/>
        <rFont val="Times New Roman"/>
      </rPr>
      <t>إذا لم تكن الغرفة منفصلة فلابد من توافر:
 ميزان أطفال 
 مقياس خشبى للطول</t>
    </r>
  </si>
  <si>
    <r>
      <rPr>
        <b/>
        <sz val="12"/>
        <color theme="1"/>
        <rFont val="Times New Roman"/>
      </rPr>
      <t>مواعيد جلسات تطعيم الأطفال معلنة فى مكان واضح.</t>
    </r>
  </si>
  <si>
    <r>
      <rPr>
        <b/>
        <sz val="12"/>
        <color theme="1"/>
        <rFont val="Times New Roman"/>
      </rPr>
      <t>قائمة بتجهيزات غرفة التطعيمات طبقاً لتعليمات الرعاية الأساسية ( معتمدة).</t>
    </r>
  </si>
  <si>
    <r>
      <rPr>
        <b/>
        <sz val="12"/>
        <color theme="1"/>
        <rFont val="Times New Roman"/>
      </rPr>
      <t>وجود ثلاجة الطعوم  الرأسية ويتوافر بها من الخارج:
 ميزان مائى ( الفقاعة الهوائية فى المنتصف)
 قائمة بقياس درجات الحرارة مرتان يومياً على الأقل (2- 8 درجة)
 قائمة محدثة بمحتويات الثلاجة من الطعوم  - العدد – تاريخ الصلاحية- رقم التشغيلة).
 كارت تعريف الثلاجة و كارت الصيانة.</t>
    </r>
  </si>
  <si>
    <r>
      <rPr>
        <b/>
        <sz val="12"/>
        <color theme="1"/>
        <rFont val="Times New Roman"/>
      </rPr>
      <t xml:space="preserve">يوجد بالثلاجة من الداخل :
 الفريزر: يوجد عدد من حوافظ الثلج ( أكياس) طبقاً لتعليمات الطب الوقائى ( لكل قدم حافظة و يضاف 2 أيضاً ( بمعنى إذا الثلاجة 14 قدم فلابد من توافر 16 حافظة ثلج).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ترمومتر فى المنتصف بين الرف الأول و الثانى.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زجاجات مياه ملونة معنونة بعدم صلاحيتها للشرب توضع على الرف الأخير بالثلاجة و ليس بالدرج.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لا يتم وضع أى محتويات بباب الثلاجة.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الإلتزام بترتيب الطعوم بشكل صحيح على كل رف 
  مراعاة وجود مسافة بين كل طعم و آخر
 وضع كارت تعريف لكل طعم </t>
    </r>
  </si>
  <si>
    <r>
      <rPr>
        <b/>
        <sz val="12"/>
        <color theme="1"/>
        <rFont val="Times New Roman"/>
      </rPr>
      <t>وجود كارت تعريف لعبوة التطعيم التى تم فتحها مدون بها:
 تاريخ وساعة الفتح
 الإسم الثلاثى للقائم بالفتح على العبوة
 تاريخ الصلاحية بعد الفتح
 يتم إعدام طعم BCG – طعم MMR بعد مرور6 ساعات من الفتح</t>
    </r>
  </si>
  <si>
    <r>
      <rPr>
        <b/>
        <sz val="12"/>
        <color theme="1"/>
        <rFont val="Times New Roman"/>
      </rPr>
      <t>ثلاجة ICELINED الأفقية:
 لا يوجد حوافظ (أكياس) تبريد أو زجاجات مياه 
 لا يتم التخزين خارج السلات 
 وجود كارت تعريف للطعوم على كل سلة</t>
    </r>
  </si>
  <si>
    <r>
      <rPr>
        <b/>
        <sz val="12"/>
        <color theme="1"/>
        <rFont val="Times New Roman"/>
      </rPr>
      <t>فى حالة الحفظ بالفريزر: 
 يتم الحفظ بين درجة -14 إلى - 18 , يتم تسجيل درجة الحرارة</t>
    </r>
  </si>
  <si>
    <r>
      <rPr>
        <b/>
        <sz val="12"/>
        <color theme="1"/>
        <rFont val="Times New Roman"/>
      </rPr>
      <t>وجود قائمة بأرصدة الطعوم المتوفرة.</t>
    </r>
  </si>
  <si>
    <r>
      <rPr>
        <b/>
        <sz val="14"/>
        <color theme="1"/>
        <rFont val="Times New Roman"/>
      </rPr>
      <t xml:space="preserve">سجلات غرفة التطعيمات: </t>
    </r>
  </si>
  <si>
    <r>
      <rPr>
        <b/>
        <u/>
        <sz val="12"/>
        <color theme="1"/>
        <rFont val="Times New Roman"/>
      </rPr>
      <t xml:space="preserve">توافر السجلات الآتية فى حالة تعطل نظام الميكنة:
</t>
    </r>
    <r>
      <rPr>
        <b/>
        <u/>
        <sz val="12"/>
        <color theme="1"/>
        <rFont val="Wingdings"/>
      </rPr>
      <t></t>
    </r>
    <r>
      <rPr>
        <b/>
        <u/>
        <sz val="12"/>
        <color theme="1"/>
        <rFont val="Times New Roman"/>
      </rPr>
      <t xml:space="preserve"> سجلات جلسة التطعيم   
 سجل حركة الطعوم                                                         
 سجلات التطعيمات والمواليد
 سجلات المتخلفين عن التطعيمات                                                
</t>
    </r>
    <r>
      <rPr>
        <b/>
        <u/>
        <sz val="12"/>
        <color theme="1"/>
        <rFont val="Wingdings"/>
      </rPr>
      <t></t>
    </r>
    <r>
      <rPr>
        <b/>
        <u/>
        <sz val="12"/>
        <color theme="1"/>
        <rFont val="Times New Roman"/>
      </rPr>
      <t xml:space="preserve"> سجل إعدام الطعوم
 سجل الآثار الجانبية
</t>
    </r>
    <r>
      <rPr>
        <b/>
        <u/>
        <sz val="12"/>
        <color theme="1"/>
        <rFont val="Wingdings"/>
      </rPr>
      <t></t>
    </r>
    <r>
      <rPr>
        <b/>
        <u/>
        <sz val="12"/>
        <color theme="1"/>
        <rFont val="Times New Roman"/>
      </rPr>
      <t xml:space="preserve"> تسجيل إحصائيات التطعيمات الشهرية (الكشوف الشهرية) 
 سجل التثقيف الصحى                 </t>
    </r>
  </si>
  <si>
    <r>
      <rPr>
        <b/>
        <u/>
        <sz val="12"/>
        <color theme="1"/>
        <rFont val="Times New Roman"/>
      </rPr>
      <t xml:space="preserve">توافر السجلات الأخرى مثل:
</t>
    </r>
    <r>
      <rPr>
        <b/>
        <u/>
        <sz val="12"/>
        <color theme="1"/>
        <rFont val="Times New Roman"/>
      </rPr>
      <t>سجل الأعطال
سجل النفايات
سجل الصيانة الدورية
سجل او / إستمارة  الإبلاغ عن حالات الوخز.</t>
    </r>
  </si>
  <si>
    <r>
      <rPr>
        <b/>
        <sz val="12"/>
        <color theme="1"/>
        <rFont val="Times New Roman"/>
      </rPr>
      <t>توافر سياسة معتمدة  و محدثة للتعامل مع الطعوم عند إنقطاع التيار الكهربائي</t>
    </r>
  </si>
  <si>
    <r>
      <rPr>
        <b/>
        <sz val="12"/>
        <color theme="1"/>
        <rFont val="Times New Roman"/>
      </rPr>
      <t>العاملون علي دراية  بسياسة كيفية التعامل مع الطعوم عند إنقطاع التيار الكهربائي</t>
    </r>
  </si>
  <si>
    <r>
      <rPr>
        <b/>
        <sz val="12"/>
        <color theme="1"/>
        <rFont val="Times New Roman"/>
      </rPr>
      <t>توافر أعداد مناسبة  من صناديق التبريد (الكولمن) في حالة إنقطاع التيار الكهربائي</t>
    </r>
  </si>
  <si>
    <r>
      <rPr>
        <b/>
        <sz val="12"/>
        <color theme="1"/>
        <rFont val="Times New Roman"/>
      </rPr>
      <t>يقوم  صيدلي بالمرور على الطعوم و يتم توثيق ذلك.</t>
    </r>
  </si>
  <si>
    <r>
      <rPr>
        <b/>
        <sz val="14"/>
        <color theme="1"/>
        <rFont val="Arial"/>
      </rPr>
      <t>عيادة طب الأسرة:</t>
    </r>
  </si>
  <si>
    <r>
      <rPr>
        <b/>
        <sz val="12"/>
        <color theme="1"/>
        <rFont val="Times New Roman"/>
      </rPr>
      <t>توافر التجهيزات الخاصة بالعيادة طبقاً لقائمة الرعاية الأساسية .</t>
    </r>
  </si>
  <si>
    <r>
      <rPr>
        <b/>
        <sz val="12"/>
        <color theme="1"/>
        <rFont val="Times New Roman"/>
      </rPr>
      <t>التجهيزات سليمة و نظيفة و المستلزمات متوفرة و صالحة.</t>
    </r>
  </si>
  <si>
    <r>
      <rPr>
        <b/>
        <sz val="12"/>
        <color theme="1"/>
        <rFont val="Times New Roman"/>
      </rPr>
      <t xml:space="preserve">الإلتزام بفحص المرضى المعرضين للسقوط بواسطة ممرضة الفرز خارج العيادة , و تسجيل ذلك بنموذج الفحص. </t>
    </r>
  </si>
  <si>
    <r>
      <rPr>
        <b/>
        <sz val="12"/>
        <color theme="1"/>
        <rFont val="Times New Roman"/>
      </rPr>
      <t>تقييم مخاطر السقوط للمرضي الأكثر عرضة للسقوط طبقا و يتم التسجيل بنموذج التقييم بملف المريض الطبي.</t>
    </r>
  </si>
  <si>
    <r>
      <rPr>
        <b/>
        <sz val="12"/>
        <color theme="1"/>
        <rFont val="Times New Roman"/>
      </rPr>
      <t>الإلتزام بإجراء تقييم الألم و تسجيله بنموذج تقييم الألم بملف المريض.</t>
    </r>
  </si>
  <si>
    <r>
      <rPr>
        <b/>
        <sz val="12"/>
        <color theme="1"/>
        <rFont val="Times New Roman"/>
      </rPr>
      <t>يتم التعامل مع الألم طبقاً لبروتوكول الألم المعتمد و أدلة العمل الإكلينيكية و يتم التسجيل بسجل المريض الطبي.</t>
    </r>
  </si>
  <si>
    <r>
      <rPr>
        <b/>
        <sz val="12"/>
        <color theme="1"/>
        <rFont val="Times New Roman"/>
      </rPr>
      <t>يتم تسجيل التثقيف الصحي للمرضى بالنموذج الخاص بذلك بملف المريض.</t>
    </r>
  </si>
  <si>
    <r>
      <rPr>
        <b/>
        <sz val="12"/>
        <color theme="1"/>
        <rFont val="Times New Roman"/>
      </rPr>
      <t>يتم عمل الفحص الشامل للمريض مرة سنويا و توثيقه في الملف الطبي.</t>
    </r>
  </si>
  <si>
    <r>
      <rPr>
        <b/>
        <sz val="12"/>
        <color theme="1"/>
        <rFont val="Times New Roman"/>
      </rPr>
      <t xml:space="preserve">يتم التسجيل بدقة بسجل التردد  و جميع السجلات بالعيادة. </t>
    </r>
  </si>
  <si>
    <r>
      <rPr>
        <b/>
        <sz val="12"/>
        <color theme="1"/>
        <rFont val="Times New Roman"/>
      </rPr>
      <t>وجود قائمة بالأمراض المعدية الواجب ترصدها.</t>
    </r>
  </si>
  <si>
    <r>
      <rPr>
        <b/>
        <sz val="12"/>
        <color theme="1"/>
        <rFont val="Times New Roman"/>
      </rPr>
      <t>نماذج التقييمات التمريضية و منها فحص و تقييم المرضى المعرضين للسقوط</t>
    </r>
  </si>
  <si>
    <r>
      <rPr>
        <b/>
        <sz val="14"/>
        <color theme="1"/>
        <rFont val="Times New Roman"/>
      </rPr>
      <t>عيادة IMCI  الرعاية المتكاملة للطفل:</t>
    </r>
  </si>
  <si>
    <r>
      <rPr>
        <b/>
        <sz val="12"/>
        <color theme="1"/>
        <rFont val="Times New Roman"/>
      </rPr>
      <t>يوجد طبيب و ممرضة مدربون على الرعاية المتكاملة للطفل.</t>
    </r>
  </si>
  <si>
    <r>
      <rPr>
        <b/>
        <sz val="12"/>
        <color theme="1"/>
        <rFont val="Times New Roman"/>
      </rPr>
      <t>أدوية IMCI متوفرة و سارية الصلاحية.</t>
    </r>
  </si>
  <si>
    <r>
      <rPr>
        <b/>
        <sz val="12"/>
        <color theme="1"/>
        <rFont val="Times New Roman"/>
      </rPr>
      <t>يتم الإلتزام بفرز و تقييم الأطفال و الكشف بالأولوية طبقاً لنتيجة الفرز و التقييم.</t>
    </r>
  </si>
  <si>
    <r>
      <rPr>
        <b/>
        <sz val="12"/>
        <color theme="1"/>
        <rFont val="Times New Roman"/>
      </rPr>
      <t>يتم التسجيل بالكراسة الخاصة بالرعاية المتكاملة للطفل بدقة.</t>
    </r>
  </si>
  <si>
    <r>
      <rPr>
        <b/>
        <sz val="12"/>
        <color theme="1"/>
        <rFont val="Times New Roman"/>
      </rPr>
      <t>توافر قائمة بأدوية IMCI</t>
    </r>
  </si>
  <si>
    <r>
      <rPr>
        <b/>
        <sz val="14"/>
        <color theme="1"/>
        <rFont val="Times New Roman"/>
      </rPr>
      <t>عيادة رعاية الأمومة ( الحوامل):</t>
    </r>
  </si>
  <si>
    <r>
      <rPr>
        <b/>
        <sz val="12"/>
        <color theme="1"/>
        <rFont val="Times New Roman"/>
      </rPr>
      <t>يتم التسجيل بدقة بسجلات رعاية الأمومة :
 سجل الحوامل الجدد
 سجل الحوامل المترددة 
 سجل الولادات و النفاس 
 سجل الزيارات المنزلية</t>
    </r>
  </si>
  <si>
    <r>
      <rPr>
        <b/>
        <sz val="12"/>
        <color theme="1"/>
        <rFont val="Times New Roman"/>
      </rPr>
      <t>الإلتزام بإعطاء تيتانوس الحوامل فى المواعيد المحددة مع التوثيق.</t>
    </r>
  </si>
  <si>
    <r>
      <rPr>
        <b/>
        <sz val="12"/>
        <color theme="1"/>
        <rFont val="Times New Roman"/>
      </rPr>
      <t>جدول تطعيمات تيتانوس الحوامل معلن ( خمس جرعات و فترة الحماية).</t>
    </r>
  </si>
  <si>
    <r>
      <rPr>
        <b/>
        <sz val="12"/>
        <color theme="1"/>
        <rFont val="Times New Roman"/>
      </rPr>
      <t>وجود ميزان للحوامل سليم.</t>
    </r>
  </si>
  <si>
    <r>
      <rPr>
        <b/>
        <sz val="12"/>
        <color theme="1"/>
        <rFont val="Times New Roman"/>
      </rPr>
      <t>تتم معايرة الموازين  يوميا وتوثيق المعايرة.</t>
    </r>
  </si>
  <si>
    <r>
      <rPr>
        <b/>
        <sz val="12"/>
        <color theme="1"/>
        <rFont val="Times New Roman"/>
      </rPr>
      <t>وجود البطاقة الصحية لمتابعة الحامل.</t>
    </r>
  </si>
  <si>
    <r>
      <rPr>
        <b/>
        <sz val="12"/>
        <color theme="1"/>
        <rFont val="Times New Roman"/>
      </rPr>
      <t>ربط سجلات الحوامل الجدد و المترددة بسجلات مبادرة صحة الأم و الجنين.</t>
    </r>
  </si>
  <si>
    <r>
      <rPr>
        <b/>
        <sz val="12"/>
        <color theme="1"/>
        <rFont val="Times New Roman"/>
      </rPr>
      <t>يوجد سجل الإحالة و التغذية الراجعة.</t>
    </r>
  </si>
  <si>
    <r>
      <rPr>
        <b/>
        <sz val="12"/>
        <color theme="1"/>
        <rFont val="Times New Roman"/>
      </rPr>
      <t>نماذج التقييمات التمريضية و منها فحص و تقييم المرضى المعرضين للسقوط</t>
    </r>
  </si>
  <si>
    <r>
      <rPr>
        <b/>
        <sz val="14"/>
        <color theme="1"/>
        <rFont val="Times New Roman"/>
      </rPr>
      <t>عيادة متابعة الأطفال:</t>
    </r>
  </si>
  <si>
    <r>
      <rPr>
        <b/>
        <sz val="12"/>
        <color theme="1"/>
        <rFont val="Times New Roman"/>
      </rPr>
      <t>توافر مستلزمات الغدة الدرقية (كروت - شكاكات-قربة - قطن معقم).</t>
    </r>
  </si>
  <si>
    <r>
      <rPr>
        <b/>
        <sz val="12"/>
        <color theme="1"/>
        <rFont val="Times New Roman"/>
      </rPr>
      <t xml:space="preserve">يتم التسجيل بدقة بسجلات متابعة الأطفال :
 سجل تحليل الغدة الدرقية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سجل متابعة تردد الأطفال 
 سجل السمعيات</t>
    </r>
  </si>
  <si>
    <r>
      <rPr>
        <b/>
        <sz val="12"/>
        <color theme="1"/>
        <rFont val="Times New Roman"/>
      </rPr>
      <t>الإلتزام بالتسجيل الصحيح ببطاقة متابعة الطفل و منحنى النمو بالملف.</t>
    </r>
  </si>
  <si>
    <r>
      <rPr>
        <b/>
        <sz val="12"/>
        <color theme="1"/>
        <rFont val="Times New Roman"/>
      </rPr>
      <t>وجود ميزان للأطفال سليم.</t>
    </r>
  </si>
  <si>
    <r>
      <rPr>
        <b/>
        <sz val="12"/>
        <color theme="1"/>
        <rFont val="Times New Roman"/>
      </rPr>
      <t>تتم معايرة الموازين  يوميا وتوثيق المعايرة.</t>
    </r>
  </si>
  <si>
    <r>
      <rPr>
        <b/>
        <sz val="12"/>
        <color theme="1"/>
        <rFont val="Times New Roman"/>
      </rPr>
      <t>وجود سجل لمتابعة تحليل الغدة الدرقية  و متابعتها فى حالة الإيجابية.</t>
    </r>
  </si>
  <si>
    <r>
      <rPr>
        <b/>
        <sz val="12"/>
        <color theme="1"/>
        <rFont val="Times New Roman"/>
      </rPr>
      <t>يوجد سجل الإحالة و التغذية الراجعة.</t>
    </r>
  </si>
  <si>
    <r>
      <rPr>
        <b/>
        <sz val="12"/>
        <color theme="1"/>
        <rFont val="Times New Roman"/>
      </rPr>
      <t>نماذج التقييمات التمريضية و منها فحص و تقييم المرضى المعرضين للسقوط</t>
    </r>
  </si>
  <si>
    <r>
      <rPr>
        <b/>
        <sz val="14"/>
        <color theme="1"/>
        <rFont val="Times New Roman"/>
      </rPr>
      <t>عيادة تنظيم الأسرة - عيادة النسا :</t>
    </r>
  </si>
  <si>
    <r>
      <rPr>
        <b/>
        <sz val="12"/>
        <color theme="1"/>
        <rFont val="Times New Roman"/>
      </rPr>
      <t>يوجد قائمة  بالخدمات المقدمة بتنظيم الأسرة و أسعارها  معلنة و محدثة و معتمدة و لها مرجع.</t>
    </r>
  </si>
  <si>
    <r>
      <rPr>
        <b/>
        <sz val="12"/>
        <color theme="1"/>
        <rFont val="Times New Roman"/>
      </rPr>
      <t>يوجد سونار  سليم يعمل بكفاءة.</t>
    </r>
  </si>
  <si>
    <r>
      <rPr>
        <b/>
        <sz val="12"/>
        <color theme="1"/>
        <rFont val="Times New Roman"/>
      </rPr>
      <t>يوجد طبيبة مؤهلة و مدربة على السونار و أعمال تنظيم الأسرة.</t>
    </r>
  </si>
  <si>
    <r>
      <rPr>
        <b/>
        <sz val="12"/>
        <color theme="1"/>
        <rFont val="Times New Roman"/>
      </rPr>
      <t>الحفاظ على خصوصية المنتفعات ( بارافان – ملاءة – باب مغلق).</t>
    </r>
  </si>
  <si>
    <r>
      <rPr>
        <b/>
        <sz val="12"/>
        <color theme="1"/>
        <rFont val="Times New Roman"/>
      </rPr>
      <t>قائمة بالإجراءات التداخلية التي تتطلب موافقة المنتفعة أو ذويها معتمدة و معلنة.</t>
    </r>
  </si>
  <si>
    <r>
      <rPr>
        <b/>
        <sz val="12"/>
        <color theme="1"/>
        <rFont val="Times New Roman"/>
      </rPr>
      <t>توافر إقرار الموافقة على  إجراء تداخلى .</t>
    </r>
  </si>
  <si>
    <r>
      <rPr>
        <b/>
        <sz val="12"/>
        <color theme="1"/>
        <rFont val="Times New Roman"/>
      </rPr>
      <t>الإلتزام بأخذ موافقة المنتفعة على الإجراء التداخلى.</t>
    </r>
  </si>
  <si>
    <r>
      <rPr>
        <b/>
        <sz val="12"/>
        <color theme="1"/>
        <rFont val="Times New Roman"/>
      </rPr>
      <t>إستيفاء التسجيل بدقة  بالآتى: 
 إقرارات الموافقة على الإجراء التداخلى
 نموذج التحقق ما قبل الإجراء التداخلي
 نموذج الوقت المستقطع 
 إستمارات المنتفعات
 سجل التردد و جميع السجلات العامة السابق ذكرها.</t>
    </r>
  </si>
  <si>
    <r>
      <rPr>
        <b/>
        <sz val="12"/>
        <color theme="1"/>
        <rFont val="Times New Roman"/>
      </rPr>
      <t>لا يتم كتابة أي إختصارات في الموافقة المبنية علي المعرفة ( إقرار الموافقة ).</t>
    </r>
  </si>
  <si>
    <r>
      <rPr>
        <b/>
        <sz val="12"/>
        <color theme="1"/>
        <rFont val="Times New Roman"/>
      </rPr>
      <t>حفظ إستمارات و نماذج التحقق قبل الاجراء  و الوقت المستقطع و الإقرارات بملف المريض الطبي.</t>
    </r>
  </si>
  <si>
    <r>
      <rPr>
        <b/>
        <sz val="12"/>
        <color theme="1"/>
        <rFont val="Times New Roman"/>
      </rPr>
      <t>يوجد قائمة بمحتويات الدولاب ويوجد كروت تعريف محدثة للوسائل مع إتباع قاعدة FIFO .</t>
    </r>
  </si>
  <si>
    <r>
      <rPr>
        <b/>
        <sz val="12"/>
        <color theme="1"/>
        <rFont val="Times New Roman"/>
      </rPr>
      <t>يوجد قائمة بالوسائل المتاحة بالعيادة.</t>
    </r>
  </si>
  <si>
    <r>
      <rPr>
        <b/>
        <sz val="12"/>
        <color theme="1"/>
        <rFont val="Times New Roman"/>
      </rPr>
      <t>قائمة بالإختصارات التشخيصية المسموح بها مع الإلتزام بها.</t>
    </r>
  </si>
  <si>
    <r>
      <rPr>
        <b/>
        <sz val="12"/>
        <color theme="1"/>
        <rFont val="Times New Roman"/>
      </rPr>
      <t>يقوم  صيدلي بالمرور على وسائل تنظيم الأسرة و يتم توثيق ذلك.</t>
    </r>
  </si>
  <si>
    <r>
      <rPr>
        <b/>
        <sz val="14"/>
        <color theme="1"/>
        <rFont val="Times New Roman"/>
      </rPr>
      <t>عيادة الأسنان :</t>
    </r>
  </si>
  <si>
    <r>
      <rPr>
        <b/>
        <sz val="12"/>
        <color theme="1"/>
        <rFont val="Times New Roman"/>
      </rPr>
      <t>يوجد قائمة  بالخدمات المقدمة بعيادة الأسنان و أسعارها  معلنة و محدثة و معتمدة و لها مرجع.</t>
    </r>
  </si>
  <si>
    <r>
      <rPr>
        <b/>
        <sz val="12"/>
        <color theme="1"/>
        <rFont val="Times New Roman"/>
      </rPr>
      <t>ملاحظة توافرالأدوية و المستلزمات و مراجعة تاريخ الصلاحية وفقاً  لقائمة التجهيزات.</t>
    </r>
  </si>
  <si>
    <r>
      <rPr>
        <b/>
        <sz val="12"/>
        <color theme="1"/>
        <rFont val="Times New Roman"/>
      </rPr>
      <t>وجود قائمة بالإجراءات التي تتطلب موافقة المريض أو ذويه معلنة و معتمدة.</t>
    </r>
  </si>
  <si>
    <r>
      <rPr>
        <b/>
        <sz val="12"/>
        <color theme="1"/>
        <rFont val="Times New Roman"/>
      </rPr>
      <t xml:space="preserve">توافر نماذج (قائمة تحقق ما قبل الإجراء التداخلي-الوقت المستقطع- إقرارات موافقة المريض علي إجراء تداخلي). </t>
    </r>
  </si>
  <si>
    <r>
      <rPr>
        <b/>
        <sz val="12"/>
        <color theme="1"/>
        <rFont val="Times New Roman"/>
      </rPr>
      <t>الإلتزام بوضع علامة على مكان الإجراء التداخلًي فى النموذج الخاص بذلك.</t>
    </r>
  </si>
  <si>
    <r>
      <rPr>
        <b/>
        <sz val="12"/>
        <color theme="1"/>
        <rFont val="Times New Roman"/>
      </rPr>
      <t>الإلتزام بأخذ  إقرار الموافقة على  إجراء تداخلى .</t>
    </r>
  </si>
  <si>
    <r>
      <rPr>
        <b/>
        <sz val="12"/>
        <color theme="1"/>
        <rFont val="Times New Roman"/>
      </rPr>
      <t xml:space="preserve">ملاحظة التجهيزات و المستلزمات بالعيادة على سبيل المثال:
 كرسي الأسنان سليم و يعمل وبكفاءة
 الكشاف  سليم وبحالة جيدة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توافر أمبولات البنج ومستلزمات الحشو بأنواعه طبقاً للخدمة المقدمة بالعيادة.
توافر دولاب لحفظ  المستلزمات لها كروت تعريف محدثة و قائمة بمحتويات الدولاب.</t>
    </r>
  </si>
  <si>
    <r>
      <rPr>
        <b/>
        <sz val="12"/>
        <color theme="1"/>
        <rFont val="Times New Roman"/>
      </rPr>
      <t xml:space="preserve">الإلتزام بالتسجيل الكامل و الصحيح  بالآتى :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سجل العيادة.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سجل الحوامل و سجل الأطفال ( متابعة الأسنان).
 نموذج تحقق ما قبل الإجراء التداخلي
 الوقت المستقطع
 إقرار الموافقة علي الإجراء التداخلي.</t>
    </r>
  </si>
  <si>
    <r>
      <rPr>
        <b/>
        <sz val="12"/>
        <color theme="1"/>
        <rFont val="Times New Roman"/>
      </rPr>
      <t>إلتزام الفريق الطبى بتعليمات مكافحة العدوى والإلتزام  بالواقيات الشخصية.</t>
    </r>
  </si>
  <si>
    <r>
      <rPr>
        <b/>
        <sz val="12"/>
        <color theme="1"/>
        <rFont val="Times New Roman"/>
      </rPr>
      <t>يقوم  صيدلي بالمرور على أمبولات البنج  و يتم توثيق ذلك.</t>
    </r>
  </si>
  <si>
    <r>
      <rPr>
        <b/>
        <sz val="14"/>
        <color theme="1"/>
        <rFont val="Times New Roman"/>
      </rPr>
      <t>ركن الإرواء:</t>
    </r>
  </si>
  <si>
    <r>
      <rPr>
        <b/>
        <sz val="12"/>
        <color theme="1"/>
        <rFont val="Arial"/>
      </rPr>
      <t xml:space="preserve">مستلزمات و تجهيزات ركن الإرواء: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كرسى مخصص للإرواء سليم سهل التنظيف و التطهير.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عبوات محلول  معالجة الجفاف سارى الصلاحية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ماء مقطر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أكواب و ملاعق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ساعة ميقاتية
 ترمومتر.</t>
    </r>
  </si>
  <si>
    <r>
      <rPr>
        <b/>
        <sz val="12"/>
        <color theme="1"/>
        <rFont val="Times New Roman"/>
      </rPr>
      <t>ركن الإرواء معـنون و نظيف.</t>
    </r>
  </si>
  <si>
    <r>
      <rPr>
        <b/>
        <sz val="12"/>
        <color theme="1"/>
        <rFont val="Times New Roman"/>
      </rPr>
      <t>التسجيل بدقة بسجل الإرواء</t>
    </r>
  </si>
  <si>
    <r>
      <rPr>
        <b/>
        <sz val="12"/>
        <color theme="1"/>
        <rFont val="Times New Roman"/>
      </rPr>
      <t>الحفاظ على الخصوصية أثناء جلسة الإرواء.</t>
    </r>
  </si>
  <si>
    <r>
      <rPr>
        <b/>
        <sz val="14"/>
        <color theme="1"/>
        <rFont val="Times New Roman"/>
      </rPr>
      <t>الخدمات المساعدة الطبية:</t>
    </r>
  </si>
  <si>
    <r>
      <rPr>
        <b/>
        <sz val="14"/>
        <color theme="1"/>
        <rFont val="Times New Roman"/>
      </rPr>
      <t>1. الصيدلية :</t>
    </r>
  </si>
  <si>
    <r>
      <rPr>
        <b/>
        <sz val="12"/>
        <color theme="1"/>
        <rFont val="Times New Roman"/>
      </rPr>
      <t xml:space="preserve">توجد قوائم معتمدة و محدثة:
 قائمة الأدوية الأساسية محدثة ( سنوياً)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قائمة بالأدوية الفعلية موزعة على جميع العيادات محدثة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الأدوية عالية الخطورة – عالية التركيز – المتشابهة فى الشكل و النطق
 قائمة بالطعوم و الأمصال
 ثبات الأدوية 
 الأدوية التى تتأثر بالضوء
 الأدوية التى تحفظ بالثلاجة
 الإختصارات الدوائية الممنوعة</t>
    </r>
  </si>
  <si>
    <r>
      <rPr>
        <b/>
        <sz val="12"/>
        <color theme="1"/>
        <rFont val="Times New Roman"/>
      </rPr>
      <t xml:space="preserve">كل قائمة تشتمل على:
 الإسم العلمى ( و يمكن إضافة الإسم التجارى)
 الشكل الدوائى 
 التركيز
 العدد
 تاريخ الصلاحية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رقم التشغيلة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تاريخ مرور الصيدلى 
 إسم الصيدلى ثلاثى</t>
    </r>
  </si>
  <si>
    <r>
      <rPr>
        <b/>
        <sz val="12"/>
        <color theme="1"/>
        <rFont val="Times New Roman"/>
      </rPr>
      <t>توافر كارت تعريف بالأدوية  محدث على كل رف بالصيدلية يشمل:
 	الإسم العلمى 
 	الشكل الدوائى 
 	التركيز
 	العدد
 	تاريخ الصلاحية
 	رقم التشغيلة</t>
    </r>
  </si>
  <si>
    <r>
      <rPr>
        <b/>
        <sz val="12"/>
        <color theme="1"/>
        <rFont val="Times New Roman"/>
      </rPr>
      <t>فصل و تمييز الأدوية بالصيدلية و أماكن توافر الأدوية بالوحدة طبقاً للسياسة.</t>
    </r>
  </si>
  <si>
    <r>
      <rPr>
        <b/>
        <sz val="12"/>
        <color theme="1"/>
        <rFont val="Times New Roman"/>
      </rPr>
      <t>الإلتزام بالتخزين الصحيح للأدوية طبقا لسياسات سلامة وإداره الدواء وترتيب الأدوية طبقاً لقاعدة FEFO</t>
    </r>
  </si>
  <si>
    <r>
      <rPr>
        <b/>
        <sz val="12"/>
        <color theme="1"/>
        <rFont val="Times New Roman"/>
      </rPr>
      <t>وجود نظام مفعل للتعامل مع الأدوية التى قاربت علي الإنتهاء( ٦ أشهر)</t>
    </r>
  </si>
  <si>
    <r>
      <rPr>
        <b/>
        <sz val="12"/>
        <color theme="1"/>
        <rFont val="Times New Roman"/>
      </rPr>
      <t>يوجد دليل تشغيلى للأدوية.</t>
    </r>
  </si>
  <si>
    <r>
      <rPr>
        <b/>
        <sz val="12"/>
        <color theme="1"/>
        <rFont val="Times New Roman"/>
      </rPr>
      <t>يتم تسجيل درجات حرارة و رطوبة  الغرفة ( الصيدلية و المخزن) يوميا مرتين على الأقل</t>
    </r>
  </si>
  <si>
    <r>
      <rPr>
        <b/>
        <sz val="12"/>
        <color theme="1"/>
        <rFont val="Times New Roman"/>
      </rPr>
      <t>يتم تسجيل درجات حرارة ثلاجات حفظ الأدوية و الطعوم و الأمصال يوميا مرتين على الأقل.</t>
    </r>
  </si>
  <si>
    <r>
      <rPr>
        <b/>
        <sz val="12"/>
        <color theme="1"/>
        <rFont val="Times New Roman"/>
      </rPr>
      <t>المكان المخصص لصرف وتخزين الأدوية:
 مساحة الصيدلية كافية
 لا يعاني المكان من الحرارة أو البرودة الشديدتين 
 لا يتعرض المكان لأشعة الشمس المباشرة
 تتوفر ثلاجة كهربائية سليمة بها جزء خاص للتجميد
 يوجد قفل على باب المخزن (أو الصيدلية إذا كان المخزن جزء منها)</t>
    </r>
  </si>
  <si>
    <r>
      <rPr>
        <b/>
        <sz val="11"/>
        <color theme="1"/>
        <rFont val="Times New Roman"/>
      </rPr>
      <t xml:space="preserve">يتم كتابة الوصفة الطبية بتذكرة المريض ( الأصل و الصورة) بما يلي :
</t>
    </r>
    <r>
      <rPr>
        <b/>
        <sz val="12"/>
        <color theme="1"/>
        <rFont val="Wingdings"/>
      </rPr>
      <t></t>
    </r>
    <r>
      <rPr>
        <b/>
        <sz val="11"/>
        <color theme="1"/>
        <rFont val="Times New Roman"/>
      </rPr>
      <t xml:space="preserve"> 	</t>
    </r>
    <r>
      <rPr>
        <b/>
        <sz val="12"/>
        <color theme="1"/>
        <rFont val="Times New Roman"/>
      </rPr>
      <t xml:space="preserve">الإسم الرباعى المريض و رقم ملفه الطبى 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	إسم الدواء و تركيزه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	الجرعة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	طريقة الإعطاء  
</t>
    </r>
    <r>
      <rPr>
        <b/>
        <sz val="11"/>
        <color theme="1"/>
        <rFont val="Times New Roman"/>
      </rPr>
      <t></t>
    </r>
    <r>
      <rPr>
        <b/>
        <sz val="12"/>
        <color theme="1"/>
        <rFont val="Times New Roman"/>
      </rPr>
      <t xml:space="preserve"> 	مدة العلاج</t>
    </r>
    <r>
      <rPr>
        <b/>
        <sz val="11"/>
        <color theme="1"/>
        <rFont val="Times New Roman"/>
      </rPr>
      <t xml:space="preserve">  </t>
    </r>
  </si>
  <si>
    <r>
      <rPr>
        <b/>
        <sz val="12"/>
        <color theme="1"/>
        <rFont val="Times New Roman"/>
      </rPr>
      <t xml:space="preserve">يتم صرف أدوية كل مريض علي حدة في عبوات مناسبة وتمييز كل عبوة بما يلي: 
</t>
    </r>
    <r>
      <rPr>
        <b/>
        <sz val="11"/>
        <color theme="1"/>
        <rFont val="Times New Roman"/>
      </rPr>
      <t></t>
    </r>
    <r>
      <rPr>
        <b/>
        <sz val="12"/>
        <color theme="1"/>
        <rFont val="Times New Roman"/>
      </rPr>
      <t xml:space="preserve"> الإسم الرباعى المريض و رقم ملفه الطبى</t>
    </r>
    <r>
      <rPr>
        <b/>
        <sz val="11"/>
        <color theme="1"/>
        <rFont val="Times New Roman"/>
      </rPr>
      <t>-  إسم الأدوية.</t>
    </r>
  </si>
  <si>
    <r>
      <rPr>
        <b/>
        <sz val="12"/>
        <color theme="1"/>
        <rFont val="Times New Roman"/>
      </rPr>
      <t>توثيق مرور الصيادلة على أماكن توافر الأدوية ( الطوارئ – الأسنان – تنظيم الأسرة).</t>
    </r>
  </si>
  <si>
    <r>
      <rPr>
        <b/>
        <sz val="14"/>
        <color theme="1"/>
        <rFont val="Times New Roman"/>
      </rPr>
      <t>مواصفات ثلاجة الأدوية:</t>
    </r>
  </si>
  <si>
    <r>
      <rPr>
        <b/>
        <sz val="12"/>
        <color theme="1"/>
        <rFont val="Times New Roman"/>
      </rPr>
      <t>بعيدة عن الشمس و بمكان جيد التهوية</t>
    </r>
  </si>
  <si>
    <r>
      <rPr>
        <b/>
        <sz val="12"/>
        <color theme="1"/>
        <rFont val="Times New Roman"/>
      </rPr>
      <t>تبعد عن الحائط بمسافة 15 سـم</t>
    </r>
  </si>
  <si>
    <r>
      <rPr>
        <b/>
        <sz val="12"/>
        <color theme="1"/>
        <rFont val="Times New Roman"/>
      </rPr>
      <t>يوجد على الثلاجة من الخارج:
 ميزان مائى ( الفقاعة الهوائية فى المنتصف)
 قائمة بقياس درجات الحرارة مرتان يومياً على الأقل ( 2- 8 درجة).
 قائمة بمحتويات الثلاجة ( الإسم العلمى - العدد – تاريخ الصلاحية- رقم التشغيلة)
 كارت تعريف الثلاجة و كارت الصيانة.</t>
    </r>
  </si>
  <si>
    <r>
      <rPr>
        <b/>
        <sz val="12"/>
        <color theme="1"/>
        <rFont val="Times New Roman"/>
      </rPr>
      <t xml:space="preserve">يوجد بالثلاجة من الداخل :
 الفريزر: يوجد عدد من حوافظ الثلج ( أكياس).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ترمومتر فى المنتصف بين الرف الأول و الثانى.
 الأدوية مرتبة و منظمة و يوجد كارت تعريف بها على أرفف الثلاجة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زجاجات مياه ملونة معنونة بعدم صلاحيتها للشرب توضع على الرف الأخير بالثلاجة و ليس بالدرج.
 لا يتم وضع أى محتويات بباب الثلاجة.</t>
    </r>
  </si>
  <si>
    <r>
      <rPr>
        <b/>
        <sz val="12"/>
        <color theme="1"/>
        <rFont val="Times New Roman"/>
      </rPr>
      <t>الثلاجة نظيفة من الداخل و الخارج.</t>
    </r>
  </si>
  <si>
    <r>
      <rPr>
        <b/>
        <sz val="12"/>
        <color theme="1"/>
        <rFont val="Times New Roman"/>
      </rPr>
      <t>لا يوجد ثلج بالفريزر و إن وُجد لا يتعدى سمكه 5,0 سـم.</t>
    </r>
  </si>
  <si>
    <r>
      <rPr>
        <b/>
        <sz val="14"/>
        <color theme="1"/>
        <rFont val="Times New Roman"/>
      </rPr>
      <t>2. المعمل :</t>
    </r>
  </si>
  <si>
    <r>
      <rPr>
        <b/>
        <sz val="12"/>
        <color theme="1"/>
        <rFont val="Times New Roman"/>
      </rPr>
      <t>وجود لافتة تشمل الآتى:
 ممنوع الدخول لغير العاملين بالمعمل و متلقى الخدمة. 
 ممنوع الأكل والتدخين</t>
    </r>
  </si>
  <si>
    <r>
      <rPr>
        <b/>
        <sz val="12"/>
        <color theme="1"/>
        <rFont val="Times New Roman"/>
      </rPr>
      <t>يوجد قائمة  بالخدمات المقدمة بالمعمل  و أسعارها  معلنة و محدثة و معتمدة و لها مرجع.</t>
    </r>
  </si>
  <si>
    <r>
      <rPr>
        <b/>
        <sz val="12"/>
        <color theme="1"/>
        <rFont val="Times New Roman"/>
      </rPr>
      <t>معمل الدم منفصل عن معمل الطفيليات ( المتوطنة).</t>
    </r>
  </si>
  <si>
    <r>
      <rPr>
        <b/>
        <sz val="12"/>
        <color theme="1"/>
        <rFont val="Times New Roman"/>
      </rPr>
      <t>لجميع الأجهزة: 
 كروت تعريف 
 كروت صيانة
 دليل التشغيل 
 فحص دوري للأجهزة موثق
 المعايرة  اليومية للأجهزة.</t>
    </r>
  </si>
  <si>
    <r>
      <rPr>
        <b/>
        <sz val="14"/>
        <color theme="1"/>
        <rFont val="Times New Roman"/>
      </rPr>
      <t>سجلات المعمل :</t>
    </r>
  </si>
  <si>
    <r>
      <rPr>
        <b/>
        <sz val="12"/>
        <color theme="1"/>
        <rFont val="Times New Roman"/>
      </rPr>
      <t>بالإضافة للسجلات العامة السابق ذكرها يوجد :
 سجل معايرة الأجهزة اليومى
 سجل معايرة نتائج المعمل شهرياً</t>
    </r>
  </si>
  <si>
    <r>
      <rPr>
        <b/>
        <sz val="12"/>
        <color theme="1"/>
        <rFont val="Times New Roman"/>
      </rPr>
      <t xml:space="preserve">سجلات المعمل مرقمة ومختومة وتوضح:
 إسم المريض رباعي ورقم الملف الطبي والرقم القومى 
 وجهة المريض ( إسم العيادة / خارجى)
 نوع العينة والفحص المطلوب 
 تاريخ وساعة إستلام العينة
 إسم القائم بالفحص ثلاثي
 إسم القائم بتسليم  و إستلام النتيجة ثلاثي
</t>
    </r>
    <r>
      <rPr>
        <b/>
        <sz val="12"/>
        <color theme="1"/>
        <rFont val="Arial"/>
      </rPr>
      <t></t>
    </r>
    <r>
      <rPr>
        <b/>
        <sz val="12"/>
        <color theme="1"/>
        <rFont val="Times New Roman"/>
      </rPr>
      <t xml:space="preserve"> ساعه تسليم النتيجة.</t>
    </r>
  </si>
  <si>
    <r>
      <rPr>
        <b/>
        <sz val="14"/>
        <color theme="1"/>
        <rFont val="Times New Roman"/>
      </rPr>
      <t>تتوافر الإشتراطات التالية بمكان سحب العينات بالمعمل :</t>
    </r>
  </si>
  <si>
    <r>
      <rPr>
        <b/>
        <sz val="12"/>
        <color theme="1"/>
        <rFont val="Times New Roman"/>
      </rPr>
      <t>التعريف بالغرفة بوجود لافتة توضح الخدمة المقدمة بها.</t>
    </r>
  </si>
  <si>
    <r>
      <rPr>
        <b/>
        <sz val="12"/>
        <color theme="1"/>
        <rFont val="Times New Roman"/>
      </rPr>
      <t>لافتة توضح مواعيد سحب العينات.</t>
    </r>
  </si>
  <si>
    <r>
      <rPr>
        <b/>
        <sz val="12"/>
        <color theme="1"/>
        <rFont val="Times New Roman"/>
      </rPr>
      <t xml:space="preserve">الإلتزام بتعليمات مكافحة العدوى  بمكان سحب العينات و المعمل من حيث : 
 توافر حوض ومستلزمات غسيل الأيدي , فى حالة عدم توافر الحوض يتم الدلك بالكحول.
 توافر القفازات اللاتكس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فصل النفايات بطريقة صحيحة
 تعريف العينات بإسم المريض رباعي ورقم الملف الطبي </t>
    </r>
    <r>
      <rPr>
        <b/>
        <u/>
        <sz val="12"/>
        <color theme="1"/>
        <rFont val="Times New Roman"/>
      </rPr>
      <t>بعد</t>
    </r>
    <r>
      <rPr>
        <b/>
        <sz val="12"/>
        <color theme="1"/>
        <rFont val="Times New Roman"/>
      </rPr>
      <t xml:space="preserve"> سحب العينة مباشرة  وقبل مغادرة المريض الغرفة.</t>
    </r>
  </si>
  <si>
    <r>
      <rPr>
        <b/>
        <sz val="12"/>
        <color theme="1"/>
        <rFont val="Times New Roman"/>
      </rPr>
      <t>كرسى سليم للمريض و آخر للقائم بسحب العينات سهل التنظيف و التطهير .</t>
    </r>
  </si>
  <si>
    <r>
      <rPr>
        <b/>
        <sz val="12"/>
        <color theme="1"/>
        <rFont val="Times New Roman"/>
      </rPr>
      <t>الحفاظ على خصوصية المريض.</t>
    </r>
  </si>
  <si>
    <r>
      <rPr>
        <b/>
        <sz val="14"/>
        <color theme="1"/>
        <rFont val="Times New Roman"/>
      </rPr>
      <t>القوائم المطلوبة بالمعمل :</t>
    </r>
  </si>
  <si>
    <r>
      <rPr>
        <b/>
        <sz val="12"/>
        <color theme="1"/>
        <rFont val="Times New Roman"/>
      </rPr>
      <t xml:space="preserve"> قائمة النتائج الحرجة المعملية لها مرجعية.
 قائمة بالتحاليل الطارئة.
 قائمة بوقت تسليم وتسلم العينات (ووقت دوران العينة الروتيني والطارئ)
 قائمة بالكواشف (أنواع الكواشف- تاريخ الصلاحية - طريقة التخزين)
 قائمة بالمواد الكميائية الخطرة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قائمة حصر بالأجهزة الموجودة بالمعمل.
 قائمة بمحتويات دولاب المستلزمات - كروت تعريف للمستلزمات.</t>
    </r>
  </si>
  <si>
    <r>
      <rPr>
        <b/>
        <sz val="12"/>
        <color theme="1"/>
        <rFont val="Times New Roman"/>
      </rPr>
      <t>جميع القوائم معتمدة و معلنة.</t>
    </r>
  </si>
  <si>
    <r>
      <rPr>
        <b/>
        <sz val="12"/>
        <color theme="1"/>
        <rFont val="Times New Roman"/>
      </rPr>
      <t>فصل المواد الكميائية الخطرة عن باقي المواد بالمعمل  ووضع ملصق  MSDSعليها.</t>
    </r>
  </si>
  <si>
    <r>
      <rPr>
        <b/>
        <sz val="12"/>
        <color theme="1"/>
        <rFont val="Times New Roman"/>
      </rPr>
      <t>يتوافرMSDS لكل مادة كميائية.</t>
    </r>
  </si>
  <si>
    <r>
      <rPr>
        <b/>
        <sz val="12"/>
        <color theme="1"/>
        <rFont val="Times New Roman"/>
      </rPr>
      <t>يتم تسجيل إسم المريض رباعي ورقم الملف الطبي وإسم  فني أو طبيب المعمل ثلاثياً علي نموذج تقاريرالنتائج.</t>
    </r>
  </si>
  <si>
    <r>
      <rPr>
        <b/>
        <sz val="12"/>
        <color theme="1"/>
        <rFont val="Times New Roman"/>
      </rPr>
      <t>التقارير الخاصة بالنتائج توضح النسب الطبيعية طبقاً للسن ، النوع</t>
    </r>
  </si>
  <si>
    <r>
      <rPr>
        <b/>
        <sz val="12"/>
        <color theme="1"/>
        <rFont val="Times New Roman"/>
      </rPr>
      <t>مراعاة الإشتراطات و المواصفات المطلوبة بثلاجات الأدوية / الكواشف السابق ذكرها.</t>
    </r>
  </si>
  <si>
    <r>
      <rPr>
        <b/>
        <sz val="12"/>
        <color theme="1"/>
        <rFont val="Times New Roman"/>
      </rPr>
      <t>متابعة الإجراء المتخذ فى حالة وجود Kits قاربت علي الإنتهاء ( 6 أشهر).</t>
    </r>
  </si>
  <si>
    <r>
      <rPr>
        <b/>
        <sz val="12"/>
        <color theme="1"/>
        <rFont val="Times New Roman"/>
      </rPr>
      <t>توافر حقيبة الإنسكابات الكميائية والبيولوجية و وجود قائمة بمحتويات الحقيبة</t>
    </r>
  </si>
  <si>
    <r>
      <rPr>
        <b/>
        <sz val="12"/>
        <color theme="1"/>
        <rFont val="Times New Roman"/>
      </rPr>
      <t>العاملين على علم و دراية بكيفية إستخدام محتويات حقيبة الإنسكابات</t>
    </r>
  </si>
  <si>
    <r>
      <rPr>
        <b/>
        <sz val="12"/>
        <color theme="1"/>
        <rFont val="Times New Roman"/>
      </rPr>
      <t>تعريف المواد التي تم تحضيرها بتاريخ وساعة التحضيروتاريخ إنتهاء الصلاحية بعد الفتح وإسم القائم بالتحضير ثلاثي.</t>
    </r>
  </si>
  <si>
    <r>
      <rPr>
        <b/>
        <sz val="12"/>
        <color theme="1"/>
        <rFont val="Times New Roman"/>
      </rPr>
      <t>توافر غاسلة الأعين بالمعمل.</t>
    </r>
  </si>
  <si>
    <r>
      <rPr>
        <b/>
        <sz val="12"/>
        <color theme="1"/>
        <rFont val="Times New Roman"/>
      </rPr>
      <t>التخلص من عينات معمل المتوطنة طبقاً لتعليمات مكافحة العدوى.</t>
    </r>
  </si>
  <si>
    <r>
      <rPr>
        <b/>
        <sz val="14"/>
        <color theme="1"/>
        <rFont val="Times New Roman"/>
      </rPr>
      <t>3. الأشــعة ( إن وُجدت الخدمة بالوحدة / المركز):</t>
    </r>
  </si>
  <si>
    <r>
      <rPr>
        <b/>
        <sz val="12"/>
        <color theme="1"/>
        <rFont val="Times New Roman"/>
      </rPr>
      <t>توافر ترخيص غرفة الأشعة طبقاً للقانون رقم 59 لسنة 1960.</t>
    </r>
  </si>
  <si>
    <r>
      <rPr>
        <b/>
        <sz val="12"/>
        <color theme="1"/>
        <rFont val="Times New Roman"/>
      </rPr>
      <t>يوجد قائمة  بالخدمات المقدمة بالأشعة و أسعارها  معلنة و محدثة و معتمدة و لها مرجع.</t>
    </r>
  </si>
  <si>
    <r>
      <rPr>
        <b/>
        <sz val="12"/>
        <color theme="1"/>
        <rFont val="Times New Roman"/>
      </rPr>
      <t>يوجد مكان إنتظار للمرضي قريب من غرفة الأشعة.</t>
    </r>
  </si>
  <si>
    <r>
      <rPr>
        <b/>
        <sz val="12"/>
        <color theme="1"/>
        <rFont val="Times New Roman"/>
      </rPr>
      <t>وجود علامات تحذيرية واضحة للعاملين والمترددين (ممنوع دخول الحوامل/ممنوع دخول مرافقين/خطر الإشعاع)
(عند الضرورة لدخول مرافق يتم إرتداؤه  للمريلة المرصصة).</t>
    </r>
  </si>
  <si>
    <r>
      <rPr>
        <b/>
        <sz val="12"/>
        <color theme="1"/>
        <rFont val="Times New Roman"/>
      </rPr>
      <t xml:space="preserve">وجود لمبة حمراء علي باب الأشعة لمنع الدخول أثناء التصوير. </t>
    </r>
  </si>
  <si>
    <r>
      <rPr>
        <b/>
        <sz val="12"/>
        <color theme="1"/>
        <rFont val="Times New Roman"/>
      </rPr>
      <t>أخصائي الأشعة يقدم تقرير نهائي لكافة الإجراءات التشخيصية.</t>
    </r>
  </si>
  <si>
    <r>
      <rPr>
        <b/>
        <sz val="12"/>
        <color theme="1"/>
        <rFont val="Times New Roman"/>
      </rPr>
      <t>تحديد إطار زمني لتوافر التقارير الطارئة والروتينية وفقا لنوع الإجراء.</t>
    </r>
  </si>
  <si>
    <r>
      <rPr>
        <b/>
        <sz val="12"/>
        <color theme="1"/>
        <rFont val="Times New Roman"/>
      </rPr>
      <t>يتم عمل معايرة لكل الأجهزة حسب تعليمات الشركة المصنعة.</t>
    </r>
  </si>
  <si>
    <r>
      <rPr>
        <b/>
        <sz val="12"/>
        <color theme="1"/>
        <rFont val="Times New Roman"/>
      </rPr>
      <t>يوجد بروتوكول لتحديد المستويات الإرشادية للجرعة ومعدل الجرعة والنشاط الإشعاعي لأغراض التعرض الطبي ويتم إعلانها داخل غرفة الأشعة.</t>
    </r>
  </si>
  <si>
    <r>
      <rPr>
        <b/>
        <sz val="12"/>
        <color theme="1"/>
        <rFont val="Times New Roman"/>
      </rPr>
      <t xml:space="preserve">تسجيل الجرعات الإشعاعية التي يتعرض لها المرضي داخل الملف الطبى في نموذج تقرير الأشعة بواسطة الفني أو الطبيب. </t>
    </r>
  </si>
  <si>
    <r>
      <rPr>
        <b/>
        <sz val="12"/>
        <color theme="1"/>
        <rFont val="Times New Roman"/>
      </rPr>
      <t>ترصيص الجدران ( الترصيص يكون علي إرتفاع 2 م علي الأقل/ يتم إعادة الترصيص عند حدوث أي تغيرات)</t>
    </r>
  </si>
  <si>
    <r>
      <rPr>
        <b/>
        <sz val="12"/>
        <color theme="1"/>
        <rFont val="Times New Roman"/>
      </rPr>
      <t>توافرأدوات قياس نسبة التعرض للإشعاع: 
 بادج فيلم كل ستة  أشهر
 أو دوزيميترالجيب مرة سنوياً.</t>
    </r>
  </si>
  <si>
    <r>
      <rPr>
        <b/>
        <sz val="12"/>
        <color theme="1"/>
        <rFont val="Times New Roman"/>
      </rPr>
      <t>يتم توثيق نتائج قياس نسبة التعرض للإشعاع.</t>
    </r>
  </si>
  <si>
    <r>
      <rPr>
        <b/>
        <sz val="12"/>
        <color theme="1"/>
        <rFont val="Times New Roman"/>
      </rPr>
      <t>توافر معدات الحماية الشخصية للعاملين بالأشعة:
 حاجز مرصص به شباك زجاج مرصص
 مرايل مرصصة 
 واقي الأعضاء التناسلية 
 واقي الغدة الدرقية 
 بارافانات مرصصة</t>
    </r>
  </si>
  <si>
    <r>
      <rPr>
        <b/>
        <sz val="12"/>
        <color theme="1"/>
        <rFont val="Times New Roman"/>
      </rPr>
      <t>يتم عمل فحص دوري لمعدات الحماية الشخصية  بالأشعة  وتوثيقها بالسجل و الذى يشمل :  التاريخ- أدوات الحماية – نتيجة الفحص (تمزق- شقوق- ثقوب-ترقق الطبقة الخارجية) - توقيع القائم بالفحص ثلاثي.</t>
    </r>
  </si>
  <si>
    <r>
      <rPr>
        <b/>
        <sz val="12"/>
        <color theme="1"/>
        <rFont val="Times New Roman"/>
      </rPr>
      <t>وجود ملف خاص بكل موظف بالأشعة و يشتمل علي:
 نتيجة الفحص قبل التعيين
 فحص دوري مرة كل 6 أشهر  (صورة دم كاملة- الرمد- الجلدية ) 
 نتائج قياسات التعرض للإشعاع الشخصي (بادج فيلم أو دوزيميترالجيب)
 فحص شامل سنوي 
 التدريبات التي حصل عليها في مجال العمل علي اجهزة الأشعة.</t>
    </r>
  </si>
  <si>
    <r>
      <rPr>
        <b/>
        <sz val="12"/>
        <color theme="1"/>
        <rFont val="Times New Roman"/>
      </rPr>
      <t>إستبعاد العاملين بالأشعة  حين ظهور خلل واضح بالتحاليل والفحوصات الدورية لحين تحسن تلك النتائج ووجود ما يثبت الإستبعاد.</t>
    </r>
  </si>
  <si>
    <r>
      <rPr>
        <b/>
        <sz val="12"/>
        <color theme="1"/>
        <rFont val="Times New Roman"/>
      </rPr>
      <t>حجرة التحميض :التأكد من عدم تسريب ضوء من باب الحجرة (الغرفة معتمة)</t>
    </r>
  </si>
  <si>
    <r>
      <rPr>
        <b/>
        <sz val="12"/>
        <color theme="1"/>
        <rFont val="Times New Roman"/>
      </rPr>
      <t>توافر صحيفة الأمان MSDS للمواد الكميائية الموجودة بالأشعة وملاحظة تخزين المواد الكميائيه طبقاً لها.</t>
    </r>
  </si>
  <si>
    <r>
      <rPr>
        <b/>
        <sz val="12"/>
        <color theme="1"/>
        <rFont val="Times New Roman"/>
      </rPr>
      <t xml:space="preserve">توافرحقيبة الإنسكابات الكميائية والبيولوجية كاملة المحتويات والعاملين علي دراية بكيفية التعامل مع الإنسكابات. </t>
    </r>
  </si>
  <si>
    <r>
      <rPr>
        <b/>
        <sz val="12"/>
        <color theme="1"/>
        <rFont val="Times New Roman"/>
      </rPr>
      <t>توافر قائمة و سجل النتائج الحرجة للأشعة مع التسجيل الصحيح.</t>
    </r>
  </si>
  <si>
    <r>
      <rPr>
        <b/>
        <sz val="12"/>
        <color theme="1"/>
        <rFont val="Times New Roman"/>
      </rPr>
      <t xml:space="preserve">التأكد من تعريف أفلام الأشعة بإسم المريض رباعي ورقم الملف الطبي. </t>
    </r>
  </si>
  <si>
    <r>
      <rPr>
        <b/>
        <sz val="12"/>
        <color theme="1"/>
        <rFont val="Times New Roman"/>
      </rPr>
      <t>يتم الحصول علي موافقة كتابية مبنية علي المعرفة للسيدات الحوامل حين الفحص بإستخدام الأشعة إذا إقتضت الضرورة الطبية لذلك.</t>
    </r>
  </si>
  <si>
    <r>
      <rPr>
        <b/>
        <sz val="14"/>
        <color theme="1"/>
        <rFont val="Times New Roman"/>
      </rPr>
      <t>غرفة التثقيف الصحى :</t>
    </r>
  </si>
  <si>
    <r>
      <rPr>
        <b/>
        <sz val="12"/>
        <color theme="1"/>
        <rFont val="Times New Roman"/>
      </rPr>
      <t>تشتمل غرفة  التثقيف الصحى على: 
 عدد كراسي يتناسب مع الأعداد المتوقعة 
 كرسي و مكتب 
 شاشة عرض إن أمكن.</t>
    </r>
  </si>
  <si>
    <r>
      <rPr>
        <b/>
        <sz val="12"/>
        <color theme="1"/>
        <rFont val="Times New Roman"/>
      </rPr>
      <t>نظيفة و مخصصة لغرض التثقيف الصحي فقط.</t>
    </r>
  </si>
  <si>
    <r>
      <rPr>
        <b/>
        <sz val="12"/>
        <color theme="1"/>
        <rFont val="Times New Roman"/>
      </rPr>
      <t>يوجد سجل للتثقيف الصحى مستوفى البيانات.</t>
    </r>
  </si>
  <si>
    <r>
      <rPr>
        <b/>
        <sz val="12"/>
        <color theme="1"/>
        <rFont val="Times New Roman"/>
      </rPr>
      <t>وجود خطة شهرية للندوات معتمدة و معلنة.</t>
    </r>
  </si>
  <si>
    <r>
      <rPr>
        <b/>
        <sz val="12"/>
        <color theme="1"/>
        <rFont val="Times New Roman"/>
      </rPr>
      <t>يتم تنفيذ الندوات طبقاً للخطة الشهرية.</t>
    </r>
  </si>
  <si>
    <r>
      <rPr>
        <b/>
        <sz val="14"/>
        <color theme="1"/>
        <rFont val="Times New Roman"/>
      </rPr>
      <t>الخدمات المساعدة غير الطبية :</t>
    </r>
  </si>
  <si>
    <r>
      <rPr>
        <b/>
        <sz val="14"/>
        <color theme="1"/>
        <rFont val="Times New Roman"/>
      </rPr>
      <t>1. وحدة التعقيم المركزى:</t>
    </r>
  </si>
  <si>
    <r>
      <rPr>
        <b/>
        <sz val="12"/>
        <color theme="1"/>
        <rFont val="Times New Roman"/>
      </rPr>
      <t>مسار إعادة معالجة و إستخدام الآلات:
يوجد خط سير للعمل بالتعقيم مع وجود فصل مادي سهل التنظيف و التطهير بين كل منطقة مع  وضع أسهم و تعريف جميع المناطق بالتعقيم.
 مدخل لإستلام الآلات الملوثة .  
 منطقة إستلام و تنظيف الآلات الملوثة .  
 منطقة تجفيـف الآلات ثم الفحص و الفرز.
 منـطـــقـــــــة التغـليــــــف .
 منطــقــــــة التعقيــــــــم.
 منطــقــــة التخــزيـــــــــن.
 مخـرج لإســتلام الآلات المعقمــة .</t>
    </r>
  </si>
  <si>
    <r>
      <rPr>
        <b/>
        <sz val="12"/>
        <color theme="1"/>
        <rFont val="Times New Roman"/>
      </rPr>
      <t xml:space="preserve">يوجد حوض لغسيل الأيدي به مستلزمات غسيل الأيدى وبوسترات غسيل الأيدي واللحظات الخمسة. </t>
    </r>
  </si>
  <si>
    <r>
      <rPr>
        <b/>
        <sz val="12"/>
        <color theme="1"/>
        <rFont val="Times New Roman"/>
      </rPr>
      <t>إلتزام العاملين بإرتداء الواقيات الشخصية (قفازات شديدة التحمل- مريلة بلاستيكية- ماسك- نظارة واقية- غطاء للرأس - سابوه مقفول).</t>
    </r>
  </si>
  <si>
    <r>
      <rPr>
        <b/>
        <sz val="12"/>
        <color theme="1"/>
        <rFont val="Times New Roman"/>
      </rPr>
      <t>التأكد من اكتمال عمليه التعقيم باستخدام كواشف بيلوجيه والحراريه والكميائيه ويتم تسجيلها بسجل خاص بالتاريخ والقائم بالتعقيم</t>
    </r>
  </si>
  <si>
    <r>
      <rPr>
        <b/>
        <sz val="12"/>
        <color theme="1"/>
        <rFont val="Times New Roman"/>
      </rPr>
      <t>متابعة كفاءة التعقيم بجهاز الأوتوكلاف:
 يتم تخصيص سجل لكل جهاز على حدة</t>
    </r>
    <r>
      <rPr>
        <b/>
        <sz val="12"/>
        <color theme="1"/>
        <rFont val="Traditional Arabic"/>
      </rPr>
      <t>.</t>
    </r>
    <r>
      <rPr>
        <b/>
        <sz val="12"/>
        <color theme="1"/>
        <rFont val="Times New Roman"/>
      </rPr>
      <t xml:space="preserve">
يتم عمل الإختبارات اللآزمة للتأكد من سلامة التعقيم :
1. يتم عمل  إختبار البوفيدك مع بداية كل يوم عمل و توضع بالسجل .
2. المؤشرات الكميائية class4 وclass5  وتوضع مع كل باكيتة تعقيم.
أ- توضع كواشف خارجية (المؤشر الحراري) يتغير لونها عند الوصول إلى درجة الحررة المطلوبة و توضع على الجدار الخارجي للعبوة.
ب- توضع مؤشرات داخلية للتأكد من وصول الحرارة والبخار و توضع في أصعب مكان للجهاز ( مركز الحمل).
3. إستخدام المؤشرات البيولوجية : 
 كل شهر( حد أقصى).
 في حالة حدوث أعطال بالجهاز .
 بعد إجراء عمليات صيانة للجهاز.</t>
    </r>
  </si>
  <si>
    <r>
      <rPr>
        <b/>
        <sz val="12"/>
        <color theme="1"/>
        <rFont val="Times New Roman"/>
      </rPr>
      <t>فتره التخزين:
 ورق الكريب شهر في حال إستخدام طبقا مزدوجة (وأسبوع في حالة إستخدام طبقة واحدة )
 عبوات الرول : شهر 
 الفوط القماشية ثلاثة أيام.</t>
    </r>
  </si>
  <si>
    <r>
      <rPr>
        <b/>
        <sz val="12"/>
        <color theme="1"/>
        <rFont val="Times New Roman"/>
      </rPr>
      <t>وجود سجل تسليم الآلات  قبل و بعد التعقيم.</t>
    </r>
  </si>
  <si>
    <r>
      <rPr>
        <b/>
        <sz val="12"/>
        <color theme="1"/>
        <rFont val="Times New Roman"/>
      </rPr>
      <t xml:space="preserve">يوجد كارت تعريف وكارت صيانة ودليل تشغيل لكل جهاز </t>
    </r>
  </si>
  <si>
    <r>
      <rPr>
        <b/>
        <sz val="12"/>
        <color theme="1"/>
        <rFont val="Times New Roman"/>
      </rPr>
      <t xml:space="preserve">يوجد فحص دوري موثق لكل جهاز </t>
    </r>
  </si>
  <si>
    <r>
      <rPr>
        <b/>
        <sz val="12"/>
        <color theme="1"/>
        <rFont val="Times New Roman"/>
      </rPr>
      <t>يوجد قائمة بمستوي المخزون المطلوب من المواد المعقمة</t>
    </r>
  </si>
  <si>
    <r>
      <rPr>
        <b/>
        <sz val="12"/>
        <color theme="1"/>
        <rFont val="Times New Roman"/>
      </rPr>
      <t>ملاحظة نظافة وجرد المكان وعدم وجود وصلات كهربائية غير مؤمنة.</t>
    </r>
  </si>
  <si>
    <r>
      <rPr>
        <b/>
        <sz val="12"/>
        <color theme="1"/>
        <rFont val="Times New Roman"/>
      </rPr>
      <t>حفظ العبوات المعقمة فى حاويات مغلقة ,أو دولاب مغلق.</t>
    </r>
  </si>
  <si>
    <r>
      <rPr>
        <b/>
        <sz val="14"/>
        <color theme="1"/>
        <rFont val="Times New Roman"/>
      </rPr>
      <t>2. وحدة غسيل المفروشات:</t>
    </r>
  </si>
  <si>
    <r>
      <rPr>
        <b/>
        <sz val="12"/>
        <color theme="1"/>
        <rFont val="Times New Roman"/>
      </rPr>
      <t xml:space="preserve">مسار إستلام المفروشات الملوثة حتى تسليمها نظيفة
الإلتزام بخط السير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مدخل لإستلام و فرز المفروشات الملوثة 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منطقة لتنظيف المفروشات الملوثة 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منطقة تجفيف المفروشات النظيفة .
 منطقة فرز المفروشات النظيفة.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منطقة تخزين المفروشات النظيفة 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منطقة مخرج لإستلام المفروشات النظيفة .
 منطقة لحفظ  المواد الكيماوية.</t>
    </r>
  </si>
  <si>
    <r>
      <rPr>
        <b/>
        <sz val="12"/>
        <color theme="1"/>
        <rFont val="Times New Roman"/>
      </rPr>
      <t>الإلتزام بالمسار في المغسلة من المتسخ الي النظيف مع عنونة المناطق المختلفة بالمغسلة.</t>
    </r>
  </si>
  <si>
    <r>
      <rPr>
        <b/>
        <sz val="12"/>
        <color theme="1"/>
        <rFont val="Times New Roman"/>
      </rPr>
      <t xml:space="preserve">وجود غسالة تعمل بكفاءة ولها كارت تعريف وكارت صيانة </t>
    </r>
  </si>
  <si>
    <r>
      <rPr>
        <b/>
        <sz val="12"/>
        <color theme="1"/>
        <rFont val="Times New Roman"/>
      </rPr>
      <t>وجود حاويات معرفة للغسيل المتسخ , , أخرى لنقل الغسيل النظيف.</t>
    </r>
  </si>
  <si>
    <r>
      <rPr>
        <b/>
        <sz val="12"/>
        <color theme="1"/>
        <rFont val="Times New Roman"/>
      </rPr>
      <t>وجود حاويات معرفة أو دولاب للغسيل النظيف</t>
    </r>
  </si>
  <si>
    <r>
      <rPr>
        <b/>
        <sz val="12"/>
        <color theme="1"/>
        <rFont val="Times New Roman"/>
      </rPr>
      <t>وجود جدول  معلن بمواعيد إستلام المفروشات النظيفة ووجود سجلات تسليم وتسلم المفروشات</t>
    </r>
  </si>
  <si>
    <r>
      <rPr>
        <b/>
        <sz val="12"/>
        <color theme="1"/>
        <rFont val="Times New Roman"/>
      </rPr>
      <t>يوجد سجل لإستلام المفروشات الملوثة من العيادات.</t>
    </r>
  </si>
  <si>
    <r>
      <rPr>
        <b/>
        <sz val="12"/>
        <color theme="1"/>
        <rFont val="Times New Roman"/>
      </rPr>
      <t>يوجد سجل تسليم المفروشات النظيفة للعيادات.</t>
    </r>
  </si>
  <si>
    <r>
      <rPr>
        <b/>
        <sz val="14"/>
        <color theme="1"/>
        <rFont val="Times New Roman"/>
      </rPr>
      <t>سكن الفريق الطبى ( أطباء – تمريض):</t>
    </r>
  </si>
  <si>
    <r>
      <rPr>
        <b/>
        <sz val="12"/>
        <color theme="1"/>
        <rFont val="Times New Roman"/>
      </rPr>
      <t>وجود التجهيزات و المستلزمات اللازمة للسكن.</t>
    </r>
  </si>
  <si>
    <r>
      <rPr>
        <b/>
        <sz val="12"/>
        <color theme="1"/>
        <rFont val="Times New Roman"/>
      </rPr>
      <t>نظافه المكان والسباكة جيدة وعدم وجود رواكد.</t>
    </r>
  </si>
  <si>
    <r>
      <rPr>
        <b/>
        <sz val="14"/>
        <color theme="1"/>
        <rFont val="Times New Roman"/>
      </rPr>
      <t>السطح:</t>
    </r>
  </si>
  <si>
    <r>
      <rPr>
        <b/>
        <sz val="12"/>
        <color theme="1"/>
        <rFont val="Times New Roman"/>
      </rPr>
      <t>السطح نظيف لا يوجد أى:  تخزين عشوائي – رواكد-  نفايات - أسلاك مكشوفة.</t>
    </r>
  </si>
  <si>
    <r>
      <rPr>
        <b/>
        <sz val="12"/>
        <color theme="1"/>
        <rFont val="Times New Roman"/>
      </rPr>
      <t>السلم الموصل للسطح سليم ومؤمن وعدم وجود معوقات</t>
    </r>
  </si>
  <si>
    <r>
      <rPr>
        <b/>
        <sz val="12"/>
        <color theme="1"/>
        <rFont val="Times New Roman"/>
      </rPr>
      <t>سور السطح سليم وليس به كسور أو تشققات</t>
    </r>
  </si>
  <si>
    <r>
      <rPr>
        <b/>
        <sz val="14"/>
        <color theme="1"/>
        <rFont val="Times New Roman"/>
      </rPr>
      <t>خزان المياه:</t>
    </r>
  </si>
  <si>
    <r>
      <rPr>
        <b/>
        <sz val="12"/>
        <color theme="1"/>
        <rFont val="Times New Roman"/>
      </rPr>
      <t xml:space="preserve">خزانات المياه نظيفة. </t>
    </r>
  </si>
  <si>
    <r>
      <rPr>
        <b/>
        <sz val="12"/>
        <color theme="1"/>
        <rFont val="Times New Roman"/>
      </rPr>
      <t>يتم الفحص الدوري للخزانات مع توثيق ذلك .</t>
    </r>
  </si>
  <si>
    <r>
      <rPr>
        <b/>
        <sz val="12"/>
        <color theme="1"/>
        <rFont val="Times New Roman"/>
      </rPr>
      <t xml:space="preserve">التأكد من محاضر غسيل وتطهير الخزانات ك
صيفاً: مرة شهريا .
 شتاءً: من شهرين – ثلاثة أشهر </t>
    </r>
  </si>
  <si>
    <r>
      <rPr>
        <b/>
        <sz val="12"/>
        <color theme="1"/>
        <rFont val="Times New Roman"/>
      </rPr>
      <t>مراجعة عينات المياه وتسجيلها بسجل نتائج العينات.</t>
    </r>
  </si>
  <si>
    <r>
      <rPr>
        <b/>
        <sz val="14"/>
        <color theme="1"/>
        <rFont val="Times New Roman"/>
      </rPr>
      <t>النفايات:</t>
    </r>
  </si>
  <si>
    <r>
      <rPr>
        <b/>
        <sz val="12"/>
        <color theme="1"/>
        <rFont val="Times New Roman"/>
      </rPr>
      <t>ترخيص تداول النفايات الطبية الخطرة ساري (طبقا لقانون رقم 4 لسنه 1994 ولائحته التنفيذية وقرار وزير الصحه رقم 192 لسنه 2001)</t>
    </r>
  </si>
  <si>
    <r>
      <rPr>
        <b/>
        <sz val="12"/>
        <color theme="1"/>
        <rFont val="Times New Roman"/>
      </rPr>
      <t>يوجد تعاقد ساري لنقل النفايات الطبية الخطرة مع ( مديرية الشئون الصحية)</t>
    </r>
  </si>
  <si>
    <r>
      <rPr>
        <b/>
        <sz val="12"/>
        <color theme="1"/>
        <rFont val="Times New Roman"/>
      </rPr>
      <t>التأكد من وجود شخص مسئول عن الغرف.</t>
    </r>
  </si>
  <si>
    <r>
      <rPr>
        <b/>
        <sz val="12"/>
        <color theme="1"/>
        <rFont val="Times New Roman"/>
      </rPr>
      <t xml:space="preserve">مواصفات غرفة تجميع النفايات الخطرة من الخارج: 
 مغلقة ومؤمنة
 لافتة تحمل عنوان: غرفة نفايات طبية خطرة و علامة النفايات الخطرة
 مواعيد  الإستلام والتسليم معلنة </t>
    </r>
  </si>
  <si>
    <r>
      <rPr>
        <b/>
        <sz val="12"/>
        <color theme="1"/>
        <rFont val="Times New Roman"/>
      </rPr>
      <t xml:space="preserve">مواصفات غرفة تجميع النفايات الخطرة من الداخل:
 للغرفة  بابين ( باب دخول وباب خروج)
 الأرضيات و الحوائط  من مادة سهلة التنظيف 
 بها مصدر للتهوية به سلك معدني ضيق الفتحات لمنع دخول الحشرات والقوارض
 حوض 
 مصدر للصرف
 ميزان
 واقيات شخصية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سجل لإستلام النفايات من العيادات يشمل  (التاريخ/الساعة- العيادة – العدد- الوزن - توقيع المسلم  و المستلم ثلاثي).
  و آخر لتسليم النفايات من الغرفة للجهة المتعاقد معها لنقل النفايات.</t>
    </r>
  </si>
  <si>
    <r>
      <rPr>
        <b/>
        <sz val="12"/>
        <color theme="1"/>
        <rFont val="Times New Roman"/>
      </rPr>
      <t>أكياس النفايات الطبية الخطرة مغلقة جيدا ومعنونة بإسم العيادة  والوزن والتاريخ.</t>
    </r>
  </si>
  <si>
    <r>
      <rPr>
        <b/>
        <sz val="12"/>
        <color theme="1"/>
        <rFont val="Times New Roman"/>
      </rPr>
      <t>توجد حاويات لوضع أكياس النفايات بها لمنع التسرب</t>
    </r>
  </si>
  <si>
    <r>
      <rPr>
        <b/>
        <sz val="12"/>
        <color theme="1"/>
        <rFont val="Times New Roman"/>
      </rPr>
      <t xml:space="preserve">إلتزام  العمال بإرتداء الواقيات الشخصية. </t>
    </r>
  </si>
  <si>
    <r>
      <rPr>
        <b/>
        <sz val="12"/>
        <color theme="1"/>
        <rFont val="Times New Roman"/>
      </rPr>
      <t>توجد عربات لنقل النفايات محكمة الغلق</t>
    </r>
  </si>
  <si>
    <r>
      <rPr>
        <b/>
        <sz val="12"/>
        <color theme="1"/>
        <rFont val="Times New Roman"/>
      </rPr>
      <t>عدم وجود أكياس نفايات ممزقة أو يوجد تسريب بها .</t>
    </r>
  </si>
  <si>
    <r>
      <rPr>
        <b/>
        <sz val="12"/>
        <color theme="1"/>
        <rFont val="Times New Roman"/>
      </rPr>
      <t>يتم فصل النفايات بطريقة صحيحة.</t>
    </r>
  </si>
  <si>
    <r>
      <rPr>
        <b/>
        <sz val="12"/>
        <color theme="1"/>
        <rFont val="Times New Roman"/>
      </rPr>
      <t>سجل تسليم النفايات من غرفة النفايات إلى خارج الوحدة.</t>
    </r>
  </si>
  <si>
    <r>
      <rPr>
        <b/>
        <sz val="14"/>
        <color theme="1"/>
        <rFont val="Times New Roman"/>
      </rPr>
      <t>مخزن المستديم و الرواكد:</t>
    </r>
  </si>
  <si>
    <r>
      <rPr>
        <b/>
        <sz val="12"/>
        <color theme="1"/>
        <rFont val="Times New Roman"/>
      </rPr>
      <t>وجود شخص مسئول عن المخزن .</t>
    </r>
  </si>
  <si>
    <r>
      <rPr>
        <b/>
        <sz val="12"/>
        <color theme="1"/>
        <rFont val="Times New Roman"/>
      </rPr>
      <t xml:space="preserve">نظافة و  ترتيب المكان وعدم التخزين العشوائي و التكدس </t>
    </r>
  </si>
  <si>
    <r>
      <rPr>
        <b/>
        <sz val="12"/>
        <color theme="1"/>
        <rFont val="Times New Roman"/>
      </rPr>
      <t>أرفف سهلة التنظيف  وتعريف الأرفف و المحتويات به.</t>
    </r>
  </si>
  <si>
    <r>
      <rPr>
        <b/>
        <sz val="12"/>
        <color theme="1"/>
        <rFont val="Times New Roman"/>
      </rPr>
      <t>المخزن مؤمن من مخاطر الحريق.</t>
    </r>
  </si>
  <si>
    <r>
      <rPr>
        <b/>
        <sz val="12"/>
        <color theme="1"/>
        <rFont val="Times New Roman"/>
      </rPr>
      <t>توافر قوائم بجميع محتويات المخازن وتصنيفها وعدد كل منها و قوائم بمحتويات الارفف و الدواليب</t>
    </r>
  </si>
  <si>
    <r>
      <rPr>
        <b/>
        <sz val="12"/>
        <color theme="1"/>
        <rFont val="Times New Roman"/>
      </rPr>
      <t>يتم فصل الأجهزة و العهدة المستديمة في المخزن</t>
    </r>
  </si>
  <si>
    <r>
      <rPr>
        <b/>
        <sz val="12"/>
        <color theme="1"/>
        <rFont val="Times New Roman"/>
      </rPr>
      <t>توافر قوائم بجميع محتويات المخازن الراكدة وتصنيفها وعدد كل منها</t>
    </r>
  </si>
  <si>
    <r>
      <rPr>
        <b/>
        <sz val="12"/>
        <color theme="1"/>
        <rFont val="Times New Roman"/>
      </rPr>
      <t>عدم وجود كهنة , و إن وُجدت فتوجد مخاطبات من أجل طلبات التكهين</t>
    </r>
  </si>
  <si>
    <r>
      <rPr>
        <b/>
        <sz val="12"/>
        <color theme="1"/>
        <rFont val="Times New Roman"/>
      </rPr>
      <t xml:space="preserve">مسئول المخزن على علم و دراية </t>
    </r>
    <r>
      <rPr>
        <b/>
        <sz val="12"/>
        <color theme="1"/>
        <rFont val="TimesNewRomanPS-BoldMT"/>
      </rPr>
      <t>بمدة الإحتفاظ بالسجلات</t>
    </r>
    <r>
      <rPr>
        <b/>
        <sz val="12"/>
        <color theme="1"/>
        <rFont val="Times New Roman"/>
      </rPr>
      <t>: 
 الإحتفاظ بالمحفوظات المستديمة (سجلات  الميزانية والمرتبات) دون الإستغناء عنها.
 الدفاتر المالية مدة 15 عام 
 حوافظ التوريد وتقارير التفتيش لمدة 10 سنوات
 محاضر الجرد وجميع الدفاتر الخاصة بحسابات المخازن لمدة 5 سنوات.</t>
    </r>
  </si>
  <si>
    <r>
      <rPr>
        <b/>
        <sz val="12"/>
        <color theme="1"/>
        <rFont val="Times New Roman"/>
      </rPr>
      <t>يتم وضع كروت تعريف على كل عهدة  بخط واضح</t>
    </r>
  </si>
  <si>
    <r>
      <rPr>
        <b/>
        <sz val="12"/>
        <color theme="1"/>
        <rFont val="Times New Roman"/>
      </rPr>
      <t>يتم وضع كروت تعريف على الاجهزة موضح  عليها بيانات كل جهاز</t>
    </r>
  </si>
  <si>
    <r>
      <rPr>
        <b/>
        <sz val="12"/>
        <color theme="1"/>
        <rFont val="Times New Roman"/>
      </rPr>
      <t xml:space="preserve">يوجد ترمومتر بالمخزن و يتم تسجيل درجة الحرارة و الرطوبة </t>
    </r>
  </si>
  <si>
    <r>
      <rPr>
        <b/>
        <sz val="12"/>
        <color theme="1"/>
        <rFont val="Times New Roman"/>
      </rPr>
      <t>يوجد خريطة للمخزن موضح بها مكان جميع محتويات المخزن وفي حالة وجود أكثر من مخزن يتم عمل خريطة لكل واحد</t>
    </r>
  </si>
  <si>
    <r>
      <rPr>
        <b/>
        <sz val="12"/>
        <color theme="1"/>
        <rFont val="Times New Roman"/>
      </rPr>
      <t xml:space="preserve">يوجد سجل المعلومات الأساسية الخاصة بعناصر المخزون يشمل :     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تاريخ الإستلام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رقم التسلسل التعريفي )الرقم الكودي  .( lot number-استيفاء أو عدم استيفاء معايير القبول، وإذا تطلب الأمر أي متابعة.
 تاريخ دخول الخدمة أو تاريخ التخلص منهاإاستبعادها في حالة عدم إستخدامها.</t>
    </r>
  </si>
  <si>
    <r>
      <rPr>
        <b/>
        <sz val="12"/>
        <color theme="1"/>
        <rFont val="Times New Roman"/>
      </rPr>
      <t xml:space="preserve"> يوجد نظام التحكم في رصيد الأصناف والذي يتضمن تحديد معدل الإستخدام، وحدود تكرار طلب كل عنصر، ومراقبة حالات نفاد المخزون . </t>
    </r>
  </si>
  <si>
    <r>
      <rPr>
        <b/>
        <sz val="14"/>
        <color theme="1"/>
        <rFont val="Times New Roman"/>
      </rPr>
      <t>شـئون العاملين:</t>
    </r>
  </si>
  <si>
    <r>
      <rPr>
        <b/>
        <sz val="12"/>
        <color theme="1"/>
        <rFont val="TimesNewRomanPS-BoldMT"/>
      </rPr>
      <t xml:space="preserve">وجود خطة التوظيف تحدد العدد التقديري المطلوب من العاملين والمهارات المطلوبة لتلبية إحتياجات الوحدة / المركز. </t>
    </r>
  </si>
  <si>
    <r>
      <rPr>
        <b/>
        <sz val="12"/>
        <color theme="1"/>
        <rFont val="TimesNewRomanPS-BoldMT"/>
      </rPr>
      <t>يتم مراجعة الخطة سنويا وتحديثها.</t>
    </r>
  </si>
  <si>
    <r>
      <rPr>
        <b/>
        <sz val="12"/>
        <color theme="1"/>
        <rFont val="Times New Roman"/>
      </rPr>
      <t xml:space="preserve">يوجد ملف فرعى لكل موظف بالوحدة يحتوي على الأقل على :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صورة الرقم القومي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شهادة التخرج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ترخيص مزاولة المهنة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صحيفة الحالة الجنائية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برنامج التهيئة (العام - للعيادة المكلف للعمل به  -للوظيفة) موقع من الموظف بالحصول على برنامج التهيئة.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التوصيف الوظيفي معتمد وموقع عليه بالعلم من قِبل الموظف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الدورات التدريبية وخبرات العمل السابقة.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أوامر تكليف.
 الشهادات التدريبية ( سواء تدريب داخلى أو خارجى).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الإقرارات سرية البيانات الحقوق والواجبات -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المحظورات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الإجراءات التأديبية / الجزاءات .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التقييم خلال 3 أشهر من إستلام العمل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تقييم الأداء / السنوي والتوثيق التغدية الراجعة من قبل الموظف على التقييم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تقييم و قياس كفاءة الفريق الطبى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الإمتيازات الاكلينكية (خاصة باطباء البشري والاسنان)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التقارير السرية السنوية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الإجازات
 المكاتبات / الأجور المتغيرة / الترقيات </t>
    </r>
  </si>
  <si>
    <r>
      <rPr>
        <b/>
        <sz val="12"/>
        <color theme="1"/>
        <rFont val="TimesNewRomanPS-BoldMT"/>
      </rPr>
      <t>يتم تخزين ملفات الموظفين في دولاب مؤمن .</t>
    </r>
  </si>
  <si>
    <r>
      <rPr>
        <b/>
        <sz val="14"/>
        <color theme="1"/>
        <rFont val="Times New Roman"/>
      </rPr>
      <t>إدارة المعلومات:</t>
    </r>
  </si>
  <si>
    <r>
      <rPr>
        <b/>
        <sz val="12"/>
        <color theme="1"/>
        <rFont val="Times New Roman"/>
      </rPr>
      <t>الإلتزام بمدة الإحتفاظ بالسجلات والبيانات والمعلومات</t>
    </r>
    <r>
      <rPr>
        <b/>
        <u/>
        <sz val="12"/>
        <color rgb="FFC00000"/>
        <rFont val="Times New Roman"/>
      </rPr>
      <t xml:space="preserve"> ( لائحة المحفوظات)</t>
    </r>
  </si>
  <si>
    <r>
      <rPr>
        <b/>
        <sz val="12"/>
        <color theme="1"/>
        <rFont val="Times New Roman"/>
      </rPr>
      <t>العاملين على دراية بطرق الإستجابة إلى أوقات تعطل نظم البيانات المخطط لها والغير المخطط لها.</t>
    </r>
  </si>
  <si>
    <r>
      <rPr>
        <b/>
        <sz val="12"/>
        <color theme="1"/>
        <rFont val="Times New Roman"/>
      </rPr>
      <t>يوجد سجل لتسجيل المنتفعين فى حالة توقف المنظومة.</t>
    </r>
  </si>
  <si>
    <r>
      <rPr>
        <b/>
        <sz val="12"/>
        <color theme="1"/>
        <rFont val="Times New Roman"/>
      </rPr>
      <t>يتم التأكد من تسجيل البيانات على المنظومة بعد زوال سبب التوقف.</t>
    </r>
  </si>
  <si>
    <r>
      <rPr>
        <b/>
        <sz val="14"/>
        <color theme="1"/>
        <rFont val="Times New Roman"/>
      </rPr>
      <t>مكافحة العدوى بالوحدة / المركز:</t>
    </r>
  </si>
  <si>
    <r>
      <rPr>
        <b/>
        <sz val="12"/>
        <color theme="1"/>
        <rFont val="Times New Roman"/>
      </rPr>
      <t>يتم إتباع تعليمات مكافحة العدوى عند التعامل مع النيبولايزر</t>
    </r>
  </si>
  <si>
    <r>
      <rPr>
        <b/>
        <sz val="12"/>
        <color theme="1"/>
        <rFont val="Times New Roman"/>
      </rPr>
      <t>يتم الإلتزام بغسل الأيدي طبقاً لكل إجراء  طبى أو تمريضى</t>
    </r>
  </si>
  <si>
    <r>
      <rPr>
        <b/>
        <sz val="12"/>
        <color theme="1"/>
        <rFont val="Times New Roman"/>
      </rPr>
      <t xml:space="preserve">تتوفر أدوات الوقاية الشخصية </t>
    </r>
  </si>
  <si>
    <r>
      <rPr>
        <b/>
        <sz val="12"/>
        <color theme="1"/>
        <rFont val="Times New Roman"/>
      </rPr>
      <t>يتم الإلتزام باستخدام أدوات الوقاية الشخصية المناسبة</t>
    </r>
  </si>
  <si>
    <r>
      <rPr>
        <b/>
        <sz val="12"/>
        <color theme="1"/>
        <rFont val="Times New Roman"/>
      </rPr>
      <t>توافر سياسة عدم الوخزمع وجود سجل لحالات الوخز و نموذج للإبلاغ.</t>
    </r>
  </si>
  <si>
    <r>
      <rPr>
        <b/>
        <sz val="12"/>
        <color theme="1"/>
        <rFont val="Times New Roman"/>
      </rPr>
      <t>يتم إتباع تعليمات مكافحة العدوى عند الغيار علي الجروح</t>
    </r>
  </si>
  <si>
    <r>
      <rPr>
        <b/>
        <sz val="12"/>
        <color theme="1"/>
        <rFont val="Times New Roman"/>
      </rPr>
      <t>الآلات المعقمة مغلفة ومخزنة بطريقة صحيحة ومسجل عليها تاريخ الصلاحية</t>
    </r>
  </si>
  <si>
    <r>
      <rPr>
        <b/>
        <sz val="12"/>
        <color theme="1"/>
        <rFont val="Times New Roman"/>
      </rPr>
      <t>لا يتم التعامل مع الآلات الملوثة داخل العيادة وترسل في حاوية مغلقة بها ماء وصابون إلى التعقيم المركزي</t>
    </r>
  </si>
  <si>
    <r>
      <rPr>
        <b/>
        <sz val="12"/>
        <color theme="1"/>
        <rFont val="Times New Roman"/>
      </rPr>
      <t>يتم فصل النفايات والمخلفات الطبية بطريقة صحيحة</t>
    </r>
  </si>
  <si>
    <r>
      <rPr>
        <b/>
        <sz val="12"/>
        <color theme="1"/>
        <rFont val="Times New Roman"/>
      </rPr>
      <t>يتم  تخزين و توزيع البياضات النظيفة طبقا لتعليمات مكافحة العدوى</t>
    </r>
  </si>
  <si>
    <r>
      <rPr>
        <b/>
        <sz val="12"/>
        <color theme="1"/>
        <rFont val="Times New Roman"/>
      </rPr>
      <t>يتم جمع البياضات الملوثة طبقا لتعليمات مكافحة العدوى</t>
    </r>
  </si>
  <si>
    <r>
      <rPr>
        <b/>
        <sz val="12"/>
        <color theme="1"/>
        <rFont val="Times New Roman"/>
      </rPr>
      <t>توجد قائمة بأسماء العاملين تسجل بها جرعات وتواريخ التطعيم  ضد HBV</t>
    </r>
  </si>
  <si>
    <r>
      <rPr>
        <b/>
        <sz val="12"/>
        <color theme="1"/>
        <rFont val="Times New Roman"/>
      </rPr>
      <t xml:space="preserve">توجد قائمة بالأمراض المعدية التي تتطلب الإبلاغ عنها طبقا للوائح و القوانين </t>
    </r>
  </si>
  <si>
    <r>
      <rPr>
        <b/>
        <sz val="12"/>
        <color theme="1"/>
        <rFont val="Times New Roman"/>
      </rPr>
      <t xml:space="preserve">يتم عمل تقرير بالمرضى المشتبه في إصابتهم بأمراض معدية </t>
    </r>
  </si>
  <si>
    <r>
      <rPr>
        <b/>
        <sz val="12"/>
        <color theme="1"/>
        <rFont val="Times New Roman"/>
      </rPr>
      <t>جميع الأجهزة لا يعلوها الغبار و الأتربة</t>
    </r>
  </si>
  <si>
    <r>
      <rPr>
        <b/>
        <sz val="12"/>
        <color theme="1"/>
        <rFont val="Times New Roman"/>
      </rPr>
      <t>توافر حقيبة الإنسكابات والعاملون مدربون عليها</t>
    </r>
  </si>
  <si>
    <r>
      <rPr>
        <b/>
        <sz val="14"/>
        <color theme="1"/>
        <rFont val="Times New Roman"/>
      </rPr>
      <t>النظافة :</t>
    </r>
  </si>
  <si>
    <r>
      <rPr>
        <b/>
        <sz val="12"/>
        <color theme="1"/>
        <rFont val="Times New Roman"/>
      </rPr>
      <t xml:space="preserve">تتوافر معدات و مستلزمات النظافة </t>
    </r>
  </si>
  <si>
    <r>
      <rPr>
        <b/>
        <sz val="12"/>
        <color theme="1"/>
        <rFont val="Times New Roman"/>
      </rPr>
      <t>توجد جداول للتنظيف والتطهير اليومي والدوري للوحدة/ المركز معلنة و مطبقة</t>
    </r>
  </si>
  <si>
    <r>
      <rPr>
        <b/>
        <sz val="12"/>
        <color theme="1"/>
        <rFont val="Times New Roman"/>
      </rPr>
      <t>جداول للتنظيف والتطهير اليومي والدوري لدورات المياه معلنة و مطبقة.</t>
    </r>
  </si>
  <si>
    <r>
      <rPr>
        <b/>
        <sz val="12"/>
        <color theme="1"/>
        <rFont val="Times New Roman"/>
      </rPr>
      <t>العاملون علي علم بالطريقة الصحيحة لتنظيف وتطهير أسطح العمل</t>
    </r>
  </si>
  <si>
    <r>
      <rPr>
        <b/>
        <sz val="12"/>
        <color theme="1"/>
        <rFont val="Times New Roman"/>
      </rPr>
      <t xml:space="preserve">يلتزم عمال النظافة بالزى الرسمي لهم مع وجود بادج تعريف لكل منهم </t>
    </r>
  </si>
  <si>
    <r>
      <rPr>
        <b/>
        <sz val="12"/>
        <color theme="1"/>
        <rFont val="Times New Roman"/>
      </rPr>
      <t>يرتدي عمال النظافة المستلزمات الواقية أثناء التنظيف</t>
    </r>
  </si>
  <si>
    <r>
      <rPr>
        <b/>
        <sz val="12"/>
        <color theme="1"/>
        <rFont val="Times New Roman"/>
      </rPr>
      <t>يتم التعامل مع الانسكابات الدموية وفقا لتعليمات مكافحة العدوى</t>
    </r>
  </si>
  <si>
    <r>
      <rPr>
        <b/>
        <sz val="12"/>
        <color theme="1"/>
        <rFont val="Times New Roman"/>
      </rPr>
      <t>لا توجد حشرات زاحفة أو طائرة أو حيوانات ضالة</t>
    </r>
  </si>
  <si>
    <r>
      <rPr>
        <b/>
        <sz val="14"/>
        <color theme="1"/>
        <rFont val="Times New Roman"/>
      </rPr>
      <t xml:space="preserve">العلاج الطبيعى: </t>
    </r>
  </si>
  <si>
    <r>
      <rPr>
        <b/>
        <sz val="14"/>
        <color theme="1"/>
        <rFont val="Times New Roman"/>
      </rPr>
      <t>الإشتراطات العامة:</t>
    </r>
  </si>
  <si>
    <r>
      <rPr>
        <b/>
        <sz val="12"/>
        <color theme="1"/>
        <rFont val="Times New Roman"/>
      </rPr>
      <t>يفضل أن يكون المركز في الدور الأرضي ( و إذا تواجد فى طابق علوى لابد من توفير مصعد مناسب لإستخدام ذوي الإحتياجات الخاصة).</t>
    </r>
  </si>
  <si>
    <r>
      <rPr>
        <b/>
        <sz val="12"/>
        <color theme="1"/>
        <rFont val="Times New Roman"/>
      </rPr>
      <t xml:space="preserve">غرفة  كشف وتقييم و فحص العلامات الحيوية. </t>
    </r>
  </si>
  <si>
    <r>
      <rPr>
        <b/>
        <sz val="12"/>
        <color theme="1"/>
        <rFont val="Times New Roman"/>
      </rPr>
      <t>غرفة إنتظار للمرضى.</t>
    </r>
  </si>
  <si>
    <r>
      <rPr>
        <b/>
        <sz val="12"/>
        <color theme="1"/>
        <rFont val="Times New Roman"/>
      </rPr>
      <t>دورة  مياه للمرضى , و دورة مياه مجهزة لإستخدام ذوي الإحتياجات الخاصة.</t>
    </r>
  </si>
  <si>
    <r>
      <rPr>
        <b/>
        <sz val="12"/>
        <color theme="1"/>
        <rFont val="Times New Roman"/>
      </rPr>
      <t>تكون الممرات  واسعة والأرضية  غير قابلة للإنزلاق مناسبة لإستخدام ذوي الإحتياجات الخاصة.</t>
    </r>
  </si>
  <si>
    <r>
      <rPr>
        <b/>
        <sz val="12"/>
        <color theme="1"/>
        <rFont val="Times New Roman"/>
      </rPr>
      <t xml:space="preserve">صالة تمارين علاجية </t>
    </r>
  </si>
  <si>
    <r>
      <rPr>
        <b/>
        <sz val="12"/>
        <color theme="1"/>
        <rFont val="Times New Roman"/>
      </rPr>
      <t>أن تخصص في أماكن العلاج فواصل أو ستائر بحيث يتوفر لكل مراجع الحرية الشخصية اللائقة.</t>
    </r>
  </si>
  <si>
    <r>
      <rPr>
        <b/>
        <sz val="12"/>
        <color theme="1"/>
        <rFont val="Times New Roman"/>
      </rPr>
      <t>لا يجوز القيام بالعلاج الطبيعي لمن لا تسمح حالتهم الصحية بذلك إلا بأمر مكتوب من الطبيب المعالج , و إقرار موافقة مستنيرة من المريض أو ذويه.</t>
    </r>
  </si>
  <si>
    <r>
      <rPr>
        <b/>
        <sz val="12"/>
        <color theme="1"/>
        <rFont val="Times New Roman"/>
      </rPr>
      <t>أن تكون مساحة العيادة مناسبة والتجهيزات متوفرة وأن تكون ممراته ومداخله واسعة.</t>
    </r>
  </si>
  <si>
    <r>
      <rPr>
        <b/>
        <sz val="12"/>
        <color theme="1"/>
        <rFont val="Times New Roman"/>
      </rPr>
      <t>أن تخصص أماكن منفصلة لكل نوع من أنواع العلاج.</t>
    </r>
  </si>
  <si>
    <r>
      <rPr>
        <b/>
        <sz val="14"/>
        <color theme="1"/>
        <rFont val="Times New Roman"/>
      </rPr>
      <t>التجهيزات اللازمة  طبقاً لنوع الخدمة المقدمة:</t>
    </r>
  </si>
  <si>
    <r>
      <rPr>
        <b/>
        <sz val="12"/>
        <color theme="1"/>
        <rFont val="Times New Roman"/>
      </rPr>
      <t>أسرة علاجية/ للتدريب و التمارين العلاجية.</t>
    </r>
  </si>
  <si>
    <r>
      <rPr>
        <b/>
        <sz val="12"/>
        <color theme="1"/>
        <rFont val="Times New Roman"/>
      </rPr>
      <t>جهاز قياس حركة المفاصل (جينيومتر(.</t>
    </r>
  </si>
  <si>
    <r>
      <rPr>
        <b/>
        <sz val="12"/>
        <color theme="1"/>
        <rFont val="Times New Roman"/>
      </rPr>
      <t>وحدة المعالجة الكهربائية.</t>
    </r>
  </si>
  <si>
    <r>
      <rPr>
        <b/>
        <sz val="12"/>
        <color theme="1"/>
        <rFont val="Times New Roman"/>
      </rPr>
      <t>مشاية.</t>
    </r>
  </si>
  <si>
    <r>
      <rPr>
        <b/>
        <sz val="12"/>
        <color theme="1"/>
        <rFont val="Times New Roman"/>
      </rPr>
      <t>جهاز مشاية كهربائي .</t>
    </r>
  </si>
  <si>
    <r>
      <rPr>
        <b/>
        <sz val="12"/>
        <color theme="1"/>
        <rFont val="Times New Roman"/>
      </rPr>
      <t>أطقم أحزمة علاجية ( تحريك – مشى).</t>
    </r>
  </si>
  <si>
    <r>
      <rPr>
        <b/>
        <sz val="12"/>
        <color theme="1"/>
        <rFont val="Times New Roman"/>
      </rPr>
      <t>المرآة الحائطية و المرآة المتحركة.</t>
    </r>
  </si>
  <si>
    <r>
      <rPr>
        <b/>
        <sz val="12"/>
        <color theme="1"/>
        <rFont val="Times New Roman"/>
      </rPr>
      <t>المعالجة  بشمع البارافين.</t>
    </r>
  </si>
  <si>
    <r>
      <rPr>
        <b/>
        <sz val="12"/>
        <color theme="1"/>
        <rFont val="Times New Roman"/>
      </rPr>
      <t>ممارسة الدراجة.</t>
    </r>
  </si>
  <si>
    <r>
      <rPr>
        <b/>
        <sz val="12"/>
        <color theme="1"/>
        <rFont val="Times New Roman"/>
      </rPr>
      <t>عجلات كتف مثبتة على الحائط.</t>
    </r>
  </si>
  <si>
    <r>
      <rPr>
        <b/>
        <sz val="12"/>
        <color theme="1"/>
        <rFont val="Times New Roman"/>
      </rPr>
      <t>آلة تقريب / تبعيد الساق.</t>
    </r>
  </si>
  <si>
    <r>
      <rPr>
        <b/>
        <sz val="12"/>
        <color theme="1"/>
        <rFont val="Times New Roman"/>
      </rPr>
      <t>أوزان الرمال.</t>
    </r>
  </si>
  <si>
    <r>
      <rPr>
        <b/>
        <sz val="12"/>
        <color theme="1"/>
        <rFont val="Times New Roman"/>
      </rPr>
      <t>الأشعة تحت الحمراء.</t>
    </r>
  </si>
  <si>
    <r>
      <rPr>
        <b/>
        <sz val="12"/>
        <color theme="1"/>
        <rFont val="Times New Roman"/>
      </rPr>
      <t>الأشعة الفوق بنفسجية.</t>
    </r>
  </si>
  <si>
    <r>
      <rPr>
        <b/>
        <sz val="12"/>
        <color theme="1"/>
        <rFont val="Times New Roman"/>
      </rPr>
      <t>جهاز تحريك المفصل .</t>
    </r>
  </si>
  <si>
    <r>
      <rPr>
        <b/>
        <sz val="14"/>
        <color theme="1"/>
        <rFont val="Times New Roman"/>
      </rPr>
      <t>السجلات :</t>
    </r>
  </si>
  <si>
    <r>
      <rPr>
        <b/>
        <sz val="12"/>
        <color theme="1"/>
        <rFont val="Times New Roman"/>
      </rPr>
      <t>وجود سجل لتسجيل المرضى يشمل على الأقل  البيانات التالية:
إسم المريض الرباعى -  رقم الملف / الإيصال - السن - عنوانه - تاريخ الزيارة الأولى - الجهة التي أحالته، نوع العلاج الذي أعطي له ( نوع الجلسة)- إسم القائم بالعلاج ( إعطاء الجلسة) -  تاريخ الزيارة القادمة – مواعيد الجلسات(.</t>
    </r>
  </si>
  <si>
    <r>
      <rPr>
        <b/>
        <sz val="12"/>
        <color theme="1"/>
        <rFont val="Times New Roman"/>
      </rPr>
      <t xml:space="preserve">يمنح المريض بطاقة يدون فيها: 
إسم المريض الرباعى- رقم الملف / الإيصال -  مواعيد الجلسات - نوع العلاج . </t>
    </r>
  </si>
  <si>
    <r>
      <rPr>
        <b/>
        <sz val="12"/>
        <color theme="1"/>
        <rFont val="Times New Roman"/>
      </rPr>
      <t>وضع  قائمة  بالخدمات الصحية و أسعارها  في مكان بارز وبخط واضح.</t>
    </r>
  </si>
  <si>
    <r>
      <rPr>
        <b/>
        <sz val="14"/>
        <color theme="1"/>
        <rFont val="Times New Roman"/>
      </rPr>
      <t>مكافحة العدوى بالعلاج الطبيعى:</t>
    </r>
  </si>
  <si>
    <r>
      <rPr>
        <b/>
        <sz val="12"/>
        <color theme="1"/>
        <rFont val="Times New Roman"/>
      </rPr>
      <t>يتم تنظيف وتطهير معدات العلاج الطبيعي بشكل دوري وبعد كل مريض.</t>
    </r>
  </si>
  <si>
    <r>
      <rPr>
        <b/>
        <sz val="12"/>
        <color theme="1"/>
        <rFont val="Times New Roman"/>
      </rPr>
      <t>يوجد جدول زمني لأنشطة التنظيف والتطهير.</t>
    </r>
  </si>
  <si>
    <r>
      <rPr>
        <b/>
        <sz val="12"/>
        <color theme="1"/>
        <rFont val="Times New Roman"/>
      </rPr>
      <t>وجود كارت تعريف و كارت صيانة دورية لكل جهاز.</t>
    </r>
  </si>
  <si>
    <t>تقييم غرفة المشورة الأسرية</t>
  </si>
  <si>
    <r>
      <rPr>
        <b/>
        <sz val="16"/>
        <color theme="1"/>
        <rFont val="Times New Roman"/>
      </rPr>
      <t>م.</t>
    </r>
  </si>
  <si>
    <r>
      <rPr>
        <b/>
        <sz val="14"/>
        <color theme="1"/>
        <rFont val="Times New Roman"/>
      </rPr>
      <t xml:space="preserve">
المعـيـــار</t>
    </r>
  </si>
  <si>
    <t>التقـيـيـــــــم</t>
  </si>
  <si>
    <r>
      <rPr>
        <b/>
        <sz val="14"/>
        <color theme="1"/>
        <rFont val="Times New Roman"/>
      </rPr>
      <t>ملاحظات</t>
    </r>
  </si>
  <si>
    <t>التقييم</t>
  </si>
  <si>
    <r>
      <rPr>
        <b/>
        <sz val="11"/>
        <color rgb="FF000000"/>
        <rFont val="Times New Roman"/>
      </rPr>
      <t xml:space="preserve">القوة البشرية ( 4 مقدم مشورة مدربين) </t>
    </r>
  </si>
  <si>
    <r>
      <rPr>
        <b/>
        <sz val="11"/>
        <color theme="1"/>
        <rFont val="Times New Roman"/>
      </rPr>
      <t>غير متوفرة</t>
    </r>
  </si>
  <si>
    <r>
      <rPr>
        <b/>
        <sz val="11"/>
        <color theme="1"/>
        <rFont val="Times New Roman"/>
      </rPr>
      <t>موجودة وغير مدربة</t>
    </r>
  </si>
  <si>
    <r>
      <rPr>
        <b/>
        <sz val="11"/>
        <color theme="1"/>
        <rFont val="Times New Roman"/>
      </rPr>
      <t>موجودة و مدربة</t>
    </r>
  </si>
  <si>
    <r>
      <rPr>
        <b/>
        <sz val="11"/>
        <color rgb="FF000000"/>
        <rFont val="Times New Roman"/>
      </rPr>
      <t>وجود لوحات للإعلان عن خدمة المشورة الأسرية بالوحدة</t>
    </r>
  </si>
  <si>
    <r>
      <rPr>
        <b/>
        <sz val="11"/>
        <color theme="1"/>
        <rFont val="Times New Roman"/>
      </rPr>
      <t>غير موجودة</t>
    </r>
  </si>
  <si>
    <r>
      <rPr>
        <b/>
        <sz val="11"/>
        <color theme="1"/>
        <rFont val="Times New Roman"/>
      </rPr>
      <t>موجودة</t>
    </r>
  </si>
  <si>
    <r>
      <rPr>
        <b/>
        <sz val="11"/>
        <color rgb="FF000000"/>
        <rFont val="Times New Roman"/>
      </rPr>
      <t xml:space="preserve"> خط السير موضح بالوحدة ومعلق في مدخل الوحدة </t>
    </r>
  </si>
  <si>
    <r>
      <rPr>
        <b/>
        <sz val="11"/>
        <color theme="1"/>
        <rFont val="Times New Roman"/>
      </rPr>
      <t>غير موجودة</t>
    </r>
  </si>
  <si>
    <r>
      <rPr>
        <b/>
        <sz val="11"/>
        <color theme="1"/>
        <rFont val="Times New Roman"/>
      </rPr>
      <t>موجودة</t>
    </r>
  </si>
  <si>
    <r>
      <rPr>
        <b/>
        <sz val="11"/>
        <color rgb="FF000000"/>
        <rFont val="Times New Roman"/>
      </rPr>
      <t>وجود أسهم متصلة الى غرفة المشورة الأسرية (عدد 2 سهم على الأقل)</t>
    </r>
  </si>
  <si>
    <r>
      <rPr>
        <b/>
        <sz val="11"/>
        <color theme="1"/>
        <rFont val="Times New Roman"/>
      </rPr>
      <t>غير متوفرة</t>
    </r>
  </si>
  <si>
    <r>
      <rPr>
        <b/>
        <sz val="11"/>
        <color theme="1"/>
        <rFont val="Times New Roman"/>
      </rPr>
      <t>متوفرة</t>
    </r>
  </si>
  <si>
    <r>
      <rPr>
        <b/>
        <sz val="11"/>
        <color rgb="FF000000"/>
        <rFont val="Times New Roman"/>
      </rPr>
      <t>يوجد مكان مناسب لجلوس متلقى الخدمة</t>
    </r>
  </si>
  <si>
    <r>
      <rPr>
        <b/>
        <sz val="11"/>
        <color theme="1"/>
        <rFont val="Times New Roman"/>
      </rPr>
      <t>غير موجود</t>
    </r>
  </si>
  <si>
    <r>
      <rPr>
        <b/>
        <sz val="11"/>
        <color theme="1"/>
        <rFont val="Times New Roman"/>
      </rPr>
      <t>موجود</t>
    </r>
  </si>
  <si>
    <r>
      <rPr>
        <b/>
        <sz val="11"/>
        <color rgb="FF000000"/>
        <rFont val="Times New Roman"/>
      </rPr>
      <t>عدم وجود تكدس عند غرفة المشورة ( أقل من ٥ متلقي خدمة منتظرين)</t>
    </r>
  </si>
  <si>
    <r>
      <rPr>
        <b/>
        <sz val="11"/>
        <color theme="1"/>
        <rFont val="Times New Roman"/>
      </rPr>
      <t>يوجد تكدس</t>
    </r>
  </si>
  <si>
    <r>
      <rPr>
        <b/>
        <sz val="11"/>
        <color theme="1"/>
        <rFont val="Times New Roman"/>
      </rPr>
      <t>لا  يوجد تكدس</t>
    </r>
  </si>
  <si>
    <r>
      <rPr>
        <b/>
        <sz val="11"/>
        <color rgb="FF000000"/>
        <rFont val="Times New Roman"/>
      </rPr>
      <t>وجود جهاز لاب توب أو كمبيوتر</t>
    </r>
  </si>
  <si>
    <r>
      <rPr>
        <b/>
        <sz val="11"/>
        <color theme="1"/>
        <rFont val="Times New Roman"/>
      </rPr>
      <t>غير متوفر</t>
    </r>
  </si>
  <si>
    <r>
      <rPr>
        <b/>
        <sz val="11"/>
        <color theme="1"/>
        <rFont val="Times New Roman"/>
      </rPr>
      <t xml:space="preserve">به عطل </t>
    </r>
  </si>
  <si>
    <r>
      <rPr>
        <b/>
        <sz val="11"/>
        <color theme="1"/>
        <rFont val="Times New Roman"/>
      </rPr>
      <t>متوفر و يعمل</t>
    </r>
  </si>
  <si>
    <r>
      <rPr>
        <b/>
        <sz val="11"/>
        <color rgb="FF000000"/>
        <rFont val="Times New Roman"/>
      </rPr>
      <t xml:space="preserve">وجود شبكة للإتصال بالإنترنت </t>
    </r>
  </si>
  <si>
    <r>
      <rPr>
        <b/>
        <sz val="11"/>
        <color theme="1"/>
        <rFont val="Times New Roman"/>
      </rPr>
      <t>غير متوفرة</t>
    </r>
  </si>
  <si>
    <r>
      <rPr>
        <b/>
        <sz val="11"/>
        <color theme="1"/>
        <rFont val="Times New Roman"/>
      </rPr>
      <t xml:space="preserve">بها عطل </t>
    </r>
  </si>
  <si>
    <r>
      <rPr>
        <b/>
        <sz val="11"/>
        <color theme="1"/>
        <rFont val="Times New Roman"/>
      </rPr>
      <t>متوفرة و تعمل</t>
    </r>
  </si>
  <si>
    <r>
      <rPr>
        <b/>
        <sz val="16"/>
        <color theme="1"/>
        <rFont val="Times New Roman"/>
      </rPr>
      <t xml:space="preserve">                        توافر مستلزمات التشغيل:</t>
    </r>
  </si>
  <si>
    <r>
      <rPr>
        <b/>
        <sz val="11"/>
        <color rgb="FF000000"/>
        <rFont val="Times New Roman"/>
      </rPr>
      <t>ميزان ومقياس طول للأطفال أصغر من سنتين</t>
    </r>
  </si>
  <si>
    <r>
      <rPr>
        <b/>
        <sz val="11"/>
        <color theme="1"/>
        <rFont val="Times New Roman"/>
      </rPr>
      <t>غير متوفر</t>
    </r>
  </si>
  <si>
    <r>
      <rPr>
        <b/>
        <sz val="11"/>
        <color theme="1"/>
        <rFont val="Times New Roman"/>
      </rPr>
      <t xml:space="preserve">به عطل </t>
    </r>
  </si>
  <si>
    <r>
      <rPr>
        <b/>
        <sz val="11"/>
        <color theme="1"/>
        <rFont val="Times New Roman"/>
      </rPr>
      <t xml:space="preserve">متوفر </t>
    </r>
  </si>
  <si>
    <r>
      <rPr>
        <b/>
        <sz val="11"/>
        <color rgb="FF000000"/>
        <rFont val="Times New Roman"/>
      </rPr>
      <t>ميزان ومقياس طول للأطفال أكبر من سنتين</t>
    </r>
  </si>
  <si>
    <r>
      <rPr>
        <b/>
        <sz val="11"/>
        <color theme="1"/>
        <rFont val="Times New Roman"/>
      </rPr>
      <t>غير متوفر</t>
    </r>
  </si>
  <si>
    <r>
      <rPr>
        <b/>
        <sz val="11"/>
        <color theme="1"/>
        <rFont val="Times New Roman"/>
      </rPr>
      <t xml:space="preserve">به عطل </t>
    </r>
  </si>
  <si>
    <r>
      <rPr>
        <b/>
        <sz val="11"/>
        <color theme="1"/>
        <rFont val="Times New Roman"/>
      </rPr>
      <t xml:space="preserve">متوفر </t>
    </r>
  </si>
  <si>
    <r>
      <rPr>
        <b/>
        <sz val="11"/>
        <color rgb="FF000000"/>
        <rFont val="Times New Roman"/>
      </rPr>
      <t>أدوات تقييم التطور</t>
    </r>
  </si>
  <si>
    <r>
      <rPr>
        <b/>
        <sz val="11"/>
        <color theme="1"/>
        <rFont val="Times New Roman"/>
      </rPr>
      <t xml:space="preserve">غير متوفرة </t>
    </r>
  </si>
  <si>
    <r>
      <rPr>
        <b/>
        <sz val="11"/>
        <color theme="1"/>
        <rFont val="Times New Roman"/>
      </rPr>
      <t xml:space="preserve">غير مكتملة </t>
    </r>
  </si>
  <si>
    <r>
      <rPr>
        <b/>
        <sz val="11"/>
        <color theme="1"/>
        <rFont val="Times New Roman"/>
      </rPr>
      <t xml:space="preserve">مكتملة </t>
    </r>
  </si>
  <si>
    <r>
      <rPr>
        <b/>
        <sz val="11"/>
        <color rgb="FF000000"/>
        <rFont val="Times New Roman"/>
      </rPr>
      <t xml:space="preserve"> أدوات متابعة الرضاعة الطبيعية</t>
    </r>
  </si>
  <si>
    <r>
      <rPr>
        <b/>
        <sz val="11"/>
        <color theme="1"/>
        <rFont val="Times New Roman"/>
      </rPr>
      <t>غير متوفرة</t>
    </r>
  </si>
  <si>
    <r>
      <rPr>
        <b/>
        <sz val="11"/>
        <color theme="1"/>
        <rFont val="Times New Roman"/>
      </rPr>
      <t>متوفرة</t>
    </r>
  </si>
  <si>
    <r>
      <rPr>
        <b/>
        <sz val="11"/>
        <color rgb="FF000000"/>
        <rFont val="Times New Roman"/>
      </rPr>
      <t xml:space="preserve">تسجيل الحالات المحولة ومتابعتها </t>
    </r>
  </si>
  <si>
    <r>
      <rPr>
        <b/>
        <sz val="11"/>
        <color theme="1"/>
        <rFont val="Times New Roman"/>
      </rPr>
      <t xml:space="preserve">لا يتم </t>
    </r>
  </si>
  <si>
    <r>
      <rPr>
        <b/>
        <sz val="11"/>
        <color theme="1"/>
        <rFont val="Times New Roman"/>
      </rPr>
      <t xml:space="preserve">يتم التسجيل فقط </t>
    </r>
  </si>
  <si>
    <r>
      <rPr>
        <b/>
        <sz val="11"/>
        <color theme="1"/>
        <rFont val="Times New Roman"/>
      </rPr>
      <t xml:space="preserve">يتم التسجيل والمتابعة </t>
    </r>
  </si>
  <si>
    <r>
      <rPr>
        <b/>
        <sz val="11"/>
        <color rgb="FF000000"/>
        <rFont val="Times New Roman"/>
      </rPr>
      <t xml:space="preserve">توافر وسائل تثقيفية وتعليمية للرسائل الصحية </t>
    </r>
  </si>
  <si>
    <r>
      <rPr>
        <b/>
        <sz val="11"/>
        <color theme="1"/>
        <rFont val="Times New Roman"/>
      </rPr>
      <t xml:space="preserve">غير متوفرة </t>
    </r>
  </si>
  <si>
    <r>
      <rPr>
        <b/>
        <sz val="11"/>
        <color theme="1"/>
        <rFont val="Times New Roman"/>
      </rPr>
      <t xml:space="preserve">بها </t>
    </r>
  </si>
  <si>
    <r>
      <rPr>
        <b/>
        <sz val="11"/>
        <color theme="1"/>
        <rFont val="Times New Roman"/>
      </rPr>
      <t xml:space="preserve">متوفرة </t>
    </r>
  </si>
  <si>
    <r>
      <rPr>
        <b/>
        <sz val="16"/>
        <color theme="1"/>
        <rFont val="Times New Roman"/>
      </rPr>
      <t xml:space="preserve">                        جلسات المشورة تقدم بكفاءة:</t>
    </r>
  </si>
  <si>
    <r>
      <rPr>
        <b/>
        <sz val="11"/>
        <color rgb="FF000000"/>
        <rFont val="Times New Roman"/>
      </rPr>
      <t>مشورة ما قبل الزواج</t>
    </r>
  </si>
  <si>
    <r>
      <rPr>
        <b/>
        <sz val="12"/>
        <color theme="1"/>
        <rFont val="Times New Roman"/>
      </rPr>
      <t xml:space="preserve">لا تتم </t>
    </r>
  </si>
  <si>
    <r>
      <rPr>
        <b/>
        <sz val="12"/>
        <color theme="1"/>
        <rFont val="Times New Roman"/>
      </rPr>
      <t xml:space="preserve">تتم  بشكل غيرمناسب </t>
    </r>
  </si>
  <si>
    <r>
      <rPr>
        <b/>
        <sz val="12"/>
        <color theme="1"/>
        <rFont val="Times New Roman"/>
      </rPr>
      <t>تتم بكفاءة</t>
    </r>
  </si>
  <si>
    <r>
      <rPr>
        <b/>
        <sz val="11"/>
        <color rgb="FF000000"/>
        <rFont val="Times New Roman"/>
      </rPr>
      <t>الأطفال</t>
    </r>
  </si>
  <si>
    <r>
      <rPr>
        <b/>
        <sz val="12"/>
        <color theme="1"/>
        <rFont val="Times New Roman"/>
      </rPr>
      <t xml:space="preserve">لا تتم </t>
    </r>
  </si>
  <si>
    <r>
      <rPr>
        <b/>
        <sz val="12"/>
        <color theme="1"/>
        <rFont val="Times New Roman"/>
      </rPr>
      <t xml:space="preserve">تتم  بشكل غيرمناسب </t>
    </r>
  </si>
  <si>
    <r>
      <rPr>
        <b/>
        <sz val="12"/>
        <color theme="1"/>
        <rFont val="Times New Roman"/>
      </rPr>
      <t>تتم بكفاءة</t>
    </r>
  </si>
  <si>
    <r>
      <rPr>
        <b/>
        <sz val="11"/>
        <color rgb="FF000000"/>
        <rFont val="Times New Roman"/>
      </rPr>
      <t>الحوامل</t>
    </r>
  </si>
  <si>
    <r>
      <rPr>
        <b/>
        <sz val="12"/>
        <color theme="1"/>
        <rFont val="Times New Roman"/>
      </rPr>
      <t xml:space="preserve">لا تتم </t>
    </r>
  </si>
  <si>
    <r>
      <rPr>
        <b/>
        <sz val="12"/>
        <color theme="1"/>
        <rFont val="Times New Roman"/>
      </rPr>
      <t xml:space="preserve">تتم  بشكل غيرمناسب </t>
    </r>
  </si>
  <si>
    <r>
      <rPr>
        <b/>
        <sz val="12"/>
        <color theme="1"/>
        <rFont val="Times New Roman"/>
      </rPr>
      <t>تتم بكفاءة</t>
    </r>
  </si>
  <si>
    <t>تقييم مهارات مقدم المشورة:</t>
  </si>
  <si>
    <r>
      <rPr>
        <b/>
        <sz val="12"/>
        <color theme="1"/>
        <rFont val="Times New Roman"/>
      </rPr>
      <t>م</t>
    </r>
  </si>
  <si>
    <r>
      <rPr>
        <b/>
        <sz val="12"/>
        <color theme="1"/>
        <rFont val="Times New Roman"/>
      </rPr>
      <t>الممارسة</t>
    </r>
  </si>
  <si>
    <r>
      <rPr>
        <b/>
        <sz val="12"/>
        <color theme="1"/>
        <rFont val="Times New Roman"/>
      </rPr>
      <t xml:space="preserve">إستخدام مهارة الترحيب وبناء علاقات جيدة مع السيدات أثناء جلسة المشورة </t>
    </r>
  </si>
  <si>
    <r>
      <rPr>
        <b/>
        <sz val="12"/>
        <color theme="1"/>
        <rFont val="Times New Roman"/>
      </rPr>
      <t> </t>
    </r>
  </si>
  <si>
    <r>
      <rPr>
        <b/>
        <sz val="12"/>
        <color theme="1"/>
        <rFont val="Times New Roman"/>
      </rPr>
      <t>إستخدام مهارة الإنصات بشكل فعال أثناء جلسة المشورة</t>
    </r>
  </si>
  <si>
    <r>
      <rPr>
        <b/>
        <sz val="12"/>
        <color theme="1"/>
        <rFont val="Times New Roman"/>
      </rPr>
      <t> </t>
    </r>
  </si>
  <si>
    <r>
      <rPr>
        <b/>
        <sz val="12"/>
        <color theme="1"/>
        <rFont val="Times New Roman"/>
      </rPr>
      <t>إستخدام مهارة المعلومات ذات الصلة بالجلسة</t>
    </r>
  </si>
  <si>
    <r>
      <rPr>
        <b/>
        <sz val="12"/>
        <color theme="1"/>
        <rFont val="Times New Roman"/>
      </rPr>
      <t> </t>
    </r>
  </si>
  <si>
    <r>
      <rPr>
        <b/>
        <sz val="12"/>
        <color theme="1"/>
        <rFont val="Times New Roman"/>
      </rPr>
      <t>إستخدام مهارة الإقناع بشكل فعال أثناء الجلسة</t>
    </r>
  </si>
  <si>
    <r>
      <rPr>
        <b/>
        <sz val="12"/>
        <color theme="1"/>
        <rFont val="Times New Roman"/>
      </rPr>
      <t> </t>
    </r>
  </si>
  <si>
    <r>
      <rPr>
        <b/>
        <sz val="12"/>
        <color theme="1"/>
        <rFont val="Times New Roman"/>
      </rPr>
      <t>إستخدام المهارات اللازمة لفهم وحل المشكلات وإتخاذ القرارات أثناء الجلسة</t>
    </r>
  </si>
  <si>
    <r>
      <rPr>
        <b/>
        <sz val="12"/>
        <color theme="1"/>
        <rFont val="Times New Roman"/>
      </rPr>
      <t> </t>
    </r>
  </si>
  <si>
    <r>
      <rPr>
        <b/>
        <sz val="12"/>
        <color theme="1"/>
        <rFont val="Times New Roman"/>
      </rPr>
      <t xml:space="preserve">إستخدام مهارة طرح الأسئلة بشكل جيد أثناء الجلسة </t>
    </r>
  </si>
  <si>
    <r>
      <rPr>
        <b/>
        <sz val="12"/>
        <color theme="1"/>
        <rFont val="Times New Roman"/>
      </rPr>
      <t> </t>
    </r>
  </si>
  <si>
    <r>
      <rPr>
        <b/>
        <sz val="12"/>
        <color theme="1"/>
        <rFont val="Times New Roman"/>
      </rPr>
      <t xml:space="preserve">قامت مقدمة المشورة بإدارة جلسة المشورة بشكل فعال </t>
    </r>
  </si>
  <si>
    <r>
      <rPr>
        <b/>
        <sz val="12"/>
        <color theme="1"/>
        <rFont val="Times New Roman"/>
      </rPr>
      <t> </t>
    </r>
  </si>
  <si>
    <r>
      <rPr>
        <b/>
        <sz val="14"/>
        <color theme="1"/>
        <rFont val="Times New Roman"/>
      </rPr>
      <t>قائمة أدوات مشورة الرضاعة الطبيعية</t>
    </r>
  </si>
  <si>
    <r>
      <rPr>
        <b/>
        <sz val="12"/>
        <color theme="1"/>
        <rFont val="Times New Roman"/>
      </rPr>
      <t>م</t>
    </r>
  </si>
  <si>
    <r>
      <rPr>
        <b/>
        <sz val="12"/>
        <color theme="1"/>
        <rFont val="Times New Roman"/>
      </rPr>
      <t>الممارسة</t>
    </r>
  </si>
  <si>
    <r>
      <rPr>
        <b/>
        <sz val="11"/>
        <color rgb="FF000000"/>
        <rFont val="Times New Roman"/>
      </rPr>
      <t xml:space="preserve"> عروسة</t>
    </r>
  </si>
  <si>
    <r>
      <rPr>
        <b/>
        <sz val="12"/>
        <color theme="1"/>
        <rFont val="Times New Roman"/>
      </rPr>
      <t> </t>
    </r>
  </si>
  <si>
    <r>
      <rPr>
        <b/>
        <sz val="11"/>
        <color rgb="FF000000"/>
        <rFont val="Times New Roman"/>
      </rPr>
      <t xml:space="preserve"> نموذج ثدي بالقماش +/ جوانتي للفم</t>
    </r>
  </si>
  <si>
    <r>
      <rPr>
        <b/>
        <sz val="12"/>
        <color theme="1"/>
        <rFont val="Times New Roman"/>
      </rPr>
      <t> </t>
    </r>
  </si>
  <si>
    <r>
      <rPr>
        <b/>
        <sz val="11"/>
        <color rgb="FF000000"/>
        <rFont val="Times New Roman"/>
      </rPr>
      <t xml:space="preserve"> قماش ربطة رعاية الأم الكنغر ( الحضن الدافئ)</t>
    </r>
  </si>
  <si>
    <r>
      <rPr>
        <b/>
        <sz val="12"/>
        <color theme="1"/>
        <rFont val="Times New Roman"/>
      </rPr>
      <t> </t>
    </r>
  </si>
  <si>
    <r>
      <rPr>
        <b/>
        <sz val="11"/>
        <color rgb="FF000000"/>
        <rFont val="Times New Roman"/>
      </rPr>
      <t xml:space="preserve"> كوب صغير ( للتدريب على بدائل الرضاعة من الثدي)</t>
    </r>
  </si>
  <si>
    <r>
      <rPr>
        <b/>
        <sz val="12"/>
        <color theme="1"/>
        <rFont val="Times New Roman"/>
      </rPr>
      <t> </t>
    </r>
  </si>
  <si>
    <r>
      <rPr>
        <b/>
        <sz val="11"/>
        <color rgb="FF000000"/>
        <rFont val="Times New Roman"/>
      </rPr>
      <t xml:space="preserve"> إستمارة تقييم الرضعة</t>
    </r>
  </si>
  <si>
    <r>
      <rPr>
        <b/>
        <sz val="12"/>
        <color theme="1"/>
        <rFont val="Times New Roman"/>
      </rPr>
      <t> </t>
    </r>
  </si>
  <si>
    <t>أدوات تقييم التطور</t>
  </si>
  <si>
    <r>
      <rPr>
        <b/>
        <sz val="12"/>
        <color theme="1"/>
        <rFont val="Times New Roman"/>
      </rPr>
      <t>م</t>
    </r>
  </si>
  <si>
    <r>
      <rPr>
        <b/>
        <sz val="12"/>
        <color theme="1"/>
        <rFont val="Times New Roman"/>
      </rPr>
      <t>الأدوات</t>
    </r>
  </si>
  <si>
    <r>
      <rPr>
        <b/>
        <sz val="7"/>
        <color rgb="FF000000"/>
        <rFont val="Times New Roman"/>
      </rPr>
      <t xml:space="preserve">  </t>
    </r>
    <r>
      <rPr>
        <b/>
        <sz val="12"/>
        <color rgb="FF000000"/>
        <rFont val="Times New Roman"/>
      </rPr>
      <t>ألوان شمعية</t>
    </r>
  </si>
  <si>
    <r>
      <rPr>
        <b/>
        <sz val="12"/>
        <color rgb="FF000000"/>
        <rFont val="Times New Roman"/>
      </rPr>
      <t xml:space="preserve">ورق أبيض </t>
    </r>
  </si>
  <si>
    <r>
      <rPr>
        <b/>
        <sz val="7"/>
        <color rgb="FF000000"/>
        <rFont val="Times New Roman"/>
      </rPr>
      <t xml:space="preserve">    </t>
    </r>
    <r>
      <rPr>
        <b/>
        <sz val="12"/>
        <color rgb="FF000000"/>
        <rFont val="Times New Roman"/>
      </rPr>
      <t xml:space="preserve"> لوح بأشكال معتدلة متحركة مربع - مستطيل – مثلث- دائرة </t>
    </r>
  </si>
  <si>
    <r>
      <rPr>
        <b/>
        <sz val="7"/>
        <color rgb="FF000000"/>
        <rFont val="Times New Roman"/>
      </rPr>
      <t xml:space="preserve">      </t>
    </r>
    <r>
      <rPr>
        <b/>
        <sz val="12"/>
        <color rgb="FF000000"/>
        <rFont val="Times New Roman"/>
      </rPr>
      <t>لوح أشكال صور غير معتدلة ومتحركة (تفاحة – حيوانات ......</t>
    </r>
    <r>
      <rPr>
        <b/>
        <sz val="10"/>
        <color rgb="FF000000"/>
        <rFont val="Times New Roman"/>
      </rPr>
      <t>)</t>
    </r>
  </si>
  <si>
    <r>
      <rPr>
        <b/>
        <sz val="7"/>
        <color rgb="FF000000"/>
        <rFont val="Times New Roman"/>
      </rPr>
      <t xml:space="preserve">    </t>
    </r>
    <r>
      <rPr>
        <b/>
        <sz val="12"/>
        <color rgb="FF000000"/>
        <rFont val="Times New Roman"/>
      </rPr>
      <t xml:space="preserve">كتاب صور صفحاته سميكة (لإختبار مهارة اليد والقدرة علي قلب الصفحات) </t>
    </r>
  </si>
  <si>
    <r>
      <rPr>
        <b/>
        <sz val="7"/>
        <color rgb="FF000000"/>
        <rFont val="Times New Roman"/>
      </rPr>
      <t xml:space="preserve">      </t>
    </r>
    <r>
      <rPr>
        <b/>
        <sz val="12"/>
        <color rgb="FF000000"/>
        <rFont val="Times New Roman"/>
      </rPr>
      <t>كتاب قصص ملونة أطفال (لإختبار تركيب الجمل)</t>
    </r>
  </si>
  <si>
    <r>
      <rPr>
        <b/>
        <sz val="7"/>
        <color rgb="FF000000"/>
        <rFont val="Times New Roman"/>
      </rPr>
      <t xml:space="preserve">    </t>
    </r>
    <r>
      <rPr>
        <b/>
        <sz val="12"/>
        <color rgb="FF000000"/>
        <rFont val="Times New Roman"/>
      </rPr>
      <t>حبل وخرز "بلاستيك" بفتحات كبيرة وفتحات صغيرة (10 – 15)</t>
    </r>
  </si>
  <si>
    <r>
      <rPr>
        <b/>
        <sz val="12"/>
        <color rgb="FF000000"/>
        <rFont val="Times New Roman"/>
      </rPr>
      <t xml:space="preserve">مقص آمن من لعب الأطفال </t>
    </r>
  </si>
  <si>
    <r>
      <rPr>
        <b/>
        <sz val="12"/>
        <color rgb="FF000000"/>
        <rFont val="Times New Roman"/>
      </rPr>
      <t xml:space="preserve">كوره إسفنجية مرنة صغيرة أكبر من حجم الفم </t>
    </r>
  </si>
  <si>
    <r>
      <rPr>
        <b/>
        <sz val="7"/>
        <color rgb="FF000000"/>
        <rFont val="Times New Roman"/>
      </rPr>
      <t xml:space="preserve"> </t>
    </r>
    <r>
      <rPr>
        <b/>
        <sz val="12"/>
        <color rgb="FF000000"/>
        <rFont val="Times New Roman"/>
      </rPr>
      <t xml:space="preserve"> ملاعق وشوك وكوب وطبق وفناجين شاي لعبة (أدوات طعام بلاستيك)</t>
    </r>
  </si>
  <si>
    <r>
      <rPr>
        <b/>
        <sz val="7"/>
        <color rgb="FF000000"/>
        <rFont val="Times New Roman"/>
      </rPr>
      <t xml:space="preserve"> </t>
    </r>
    <r>
      <rPr>
        <b/>
        <sz val="12"/>
        <color rgb="FF000000"/>
        <rFont val="Times New Roman"/>
      </rPr>
      <t xml:space="preserve"> حيوانات لعبة </t>
    </r>
  </si>
  <si>
    <r>
      <rPr>
        <b/>
        <sz val="7"/>
        <color rgb="FF000000"/>
        <rFont val="Times New Roman"/>
      </rPr>
      <t xml:space="preserve">  </t>
    </r>
    <r>
      <rPr>
        <b/>
        <sz val="12"/>
        <color rgb="FF000000"/>
        <rFont val="Times New Roman"/>
      </rPr>
      <t xml:space="preserve">  عربيات لعبة</t>
    </r>
  </si>
  <si>
    <r>
      <rPr>
        <b/>
        <sz val="7"/>
        <color rgb="FF000000"/>
        <rFont val="Times New Roman"/>
      </rPr>
      <t xml:space="preserve">  </t>
    </r>
    <r>
      <rPr>
        <b/>
        <sz val="12"/>
        <color rgb="FF000000"/>
        <rFont val="Times New Roman"/>
      </rPr>
      <t xml:space="preserve">عروسة – فرشة شعر- مراية </t>
    </r>
  </si>
  <si>
    <r>
      <rPr>
        <b/>
        <sz val="7"/>
        <color rgb="FF000000"/>
        <rFont val="Times New Roman"/>
      </rPr>
      <t xml:space="preserve">  </t>
    </r>
    <r>
      <rPr>
        <b/>
        <sz val="12"/>
        <color rgb="FF000000"/>
        <rFont val="Times New Roman"/>
      </rPr>
      <t xml:space="preserve"> عدد 12 مكعب خشبي أملس مقاس بوصة (2.5 سم x 2.5 سم) </t>
    </r>
  </si>
  <si>
    <r>
      <rPr>
        <b/>
        <sz val="7"/>
        <color rgb="FF000000"/>
        <rFont val="Times New Roman"/>
      </rPr>
      <t xml:space="preserve"> </t>
    </r>
    <r>
      <rPr>
        <b/>
        <sz val="12"/>
        <color rgb="FF000000"/>
        <rFont val="Times New Roman"/>
      </rPr>
      <t xml:space="preserve">كورة بلاستيك حجمها متوسط </t>
    </r>
  </si>
  <si>
    <t xml:space="preserve">إجمالى تقييم غرفة المشورة </t>
  </si>
  <si>
    <t>المبادرات</t>
  </si>
  <si>
    <t>م.</t>
  </si>
  <si>
    <t>مبادرة صحة المراة المصرية</t>
  </si>
  <si>
    <t>لافتات/ ملصقات تشير بوجود المبادرة داخل الوحدة</t>
  </si>
  <si>
    <t>يوجد بحالة سيئة</t>
  </si>
  <si>
    <t>يوجد بحالة ممتازة</t>
  </si>
  <si>
    <t>الإلتزام بزي المبادرات الرسمي</t>
  </si>
  <si>
    <t>الجميع غير ملتزم</t>
  </si>
  <si>
    <t>البعض ملتزم</t>
  </si>
  <si>
    <t>الجميع ملتزم</t>
  </si>
  <si>
    <t>أماكن الإنتظار</t>
  </si>
  <si>
    <t>غير موجود</t>
  </si>
  <si>
    <t>موجود و غيرصالحة</t>
  </si>
  <si>
    <t>موجود وصالحة</t>
  </si>
  <si>
    <t>الرائدة/المثقفة الصحية تقوم بالتوعية داخل الوحدة مدتها</t>
  </si>
  <si>
    <t>&lt; 15</t>
  </si>
  <si>
    <t>15-20دقيقة</t>
  </si>
  <si>
    <t>غير موجودة</t>
  </si>
  <si>
    <t>الرائدة/المثقفة الصحية تقوم بتوعية داخل الوحدة لعدد مواطنين</t>
  </si>
  <si>
    <t>&lt; 10</t>
  </si>
  <si>
    <t>10-15مواطن</t>
  </si>
  <si>
    <t>مقارنة عدد حالات التسجيل على السجلات بعدد جلسات التوعية</t>
  </si>
  <si>
    <t>موجود لايدري</t>
  </si>
  <si>
    <t>موجود على دراية</t>
  </si>
  <si>
    <t>عدد السيدات في جلسة التوعية داخل الوحدة</t>
  </si>
  <si>
    <t>لا يتم التوعية</t>
  </si>
  <si>
    <t>10-15سيدة</t>
  </si>
  <si>
    <t>كروت المواطنين</t>
  </si>
  <si>
    <t>موجود و لا تسلم للمواطن</t>
  </si>
  <si>
    <t>موجود و تسلم للمواطن</t>
  </si>
  <si>
    <t>تسجيل بيانات كروت المواطنين</t>
  </si>
  <si>
    <t>موجودة غير كاملة/واضحة</t>
  </si>
  <si>
    <t>موجودة و كاملة / واضحة</t>
  </si>
  <si>
    <t>تاريخ طباعة الكارت</t>
  </si>
  <si>
    <t>السجلات الورقية مطابقة للمنظومة الإلكترونية</t>
  </si>
  <si>
    <t>لا توجد سجلات</t>
  </si>
  <si>
    <t>سجلات غير مطابقة</t>
  </si>
  <si>
    <t>سجلات مطابقة</t>
  </si>
  <si>
    <t>غرفة فحص ذات خصوصية (تنظيم أسرة)</t>
  </si>
  <si>
    <t xml:space="preserve">لا يوجد </t>
  </si>
  <si>
    <t>موجودة عامة</t>
  </si>
  <si>
    <t>موجودة و بها خصوصية</t>
  </si>
  <si>
    <t>دفتر الإحالة للمستشفيات والتغذية الراجعة</t>
  </si>
  <si>
    <t>موجود بدون تسجيل تغذية</t>
  </si>
  <si>
    <t>موجودة و يسجل بها التغذية</t>
  </si>
  <si>
    <t>معايرة جهاز ميزان الأطوال</t>
  </si>
  <si>
    <t>موجود بدون معايرة</t>
  </si>
  <si>
    <t>موجود و مطابق</t>
  </si>
  <si>
    <t xml:space="preserve">                        الإجمالى:</t>
  </si>
  <si>
    <t>مبادرة الإكتشاف المبكر لضعف وفقدان السمع</t>
  </si>
  <si>
    <t>بوسترات- بانرات- إرشادات</t>
  </si>
  <si>
    <t>غرفة السمعيات بعيدة عن الضوضاء ومجهزة</t>
  </si>
  <si>
    <t>ضعيف</t>
  </si>
  <si>
    <t>متوسط</t>
  </si>
  <si>
    <t>جيد</t>
  </si>
  <si>
    <t>فحص الطفل قبل فحص الغده (الطفل هاديء)</t>
  </si>
  <si>
    <t>لا يتم</t>
  </si>
  <si>
    <t>يتم</t>
  </si>
  <si>
    <t>نظافة البروب من الشمع</t>
  </si>
  <si>
    <t xml:space="preserve">غير نظيف </t>
  </si>
  <si>
    <t>نظيف</t>
  </si>
  <si>
    <t>عدد2تمريض مدرب على المبادرة</t>
  </si>
  <si>
    <t>يوجد 1 تمريض</t>
  </si>
  <si>
    <t>يوجد 2 تمريض</t>
  </si>
  <si>
    <t>غرفة السمعيات متاحة طول أيام الأسبوع</t>
  </si>
  <si>
    <t>غير متاح</t>
  </si>
  <si>
    <t>متاح بعض الأيام</t>
  </si>
  <si>
    <t>متاح بالكامل</t>
  </si>
  <si>
    <t>طريقة معايرة البروب من خلال الأذن الصناعية</t>
  </si>
  <si>
    <t>لا يطبق</t>
  </si>
  <si>
    <t>يطبق مرة كل شهر</t>
  </si>
  <si>
    <t>التغذية الراجعة للمتغيبين عن الفحص الثاني والإتصال بالوالدين من الممرضة المسؤولة</t>
  </si>
  <si>
    <t>موجودة ليس كامل</t>
  </si>
  <si>
    <t>موجودة و مطابق</t>
  </si>
  <si>
    <t>نسبة تطابق فحوصات الغدة مع السمعيات في كل جلسة</t>
  </si>
  <si>
    <t>موجود و ليس مطابق</t>
  </si>
  <si>
    <t>سرعة تبليغ الفريق الإشرافي بالأعطال</t>
  </si>
  <si>
    <t xml:space="preserve">لا يتم </t>
  </si>
  <si>
    <t xml:space="preserve">يتم مع تأخير </t>
  </si>
  <si>
    <t>يتم فوراً</t>
  </si>
  <si>
    <t>مبادرة فحوصات ماقبل الزواج</t>
  </si>
  <si>
    <t xml:space="preserve">أسهم إتجاهات للعيادة (لوحة أكريليك)             </t>
  </si>
  <si>
    <t>بعضها موجود</t>
  </si>
  <si>
    <t>موجود ككل</t>
  </si>
  <si>
    <t xml:space="preserve">الإلتزام بالزي الرسمى للمبادرات </t>
  </si>
  <si>
    <t>الطابعة الخاصة بالمبادرة</t>
  </si>
  <si>
    <t xml:space="preserve">موجود </t>
  </si>
  <si>
    <t xml:space="preserve">غرفة المشورة </t>
  </si>
  <si>
    <t xml:space="preserve">موجود بدون تسجيل </t>
  </si>
  <si>
    <t>موجودة و مسجل بها التردد</t>
  </si>
  <si>
    <t>تسليم كارت المبادرة للمواطن</t>
  </si>
  <si>
    <t>موجود و غير مكتمل</t>
  </si>
  <si>
    <t>موجود و مكتمل</t>
  </si>
  <si>
    <t xml:space="preserve">السجل الخاص بغرفة المشورة </t>
  </si>
  <si>
    <t xml:space="preserve">تسليم الشهادات للشخص نفسه فقط او بتوكيل (تفويض)
(لا يطبق = 0) (يطبق = 2) </t>
  </si>
  <si>
    <t>يطبق</t>
  </si>
  <si>
    <t>عدد الشهادات المهدرة</t>
  </si>
  <si>
    <t>&gt; 5%</t>
  </si>
  <si>
    <t>5%</t>
  </si>
  <si>
    <t>2%</t>
  </si>
  <si>
    <t>مطابقة التسجيل على المنظومة بالسجلات الورقية</t>
  </si>
  <si>
    <t>مطابقة نتائج الأجهزة التشخيصية بالسجلات</t>
  </si>
  <si>
    <t xml:space="preserve">تسليم الكتيب إلى المواطنين والتوعية الصحية </t>
  </si>
  <si>
    <t>غير مطبق</t>
  </si>
  <si>
    <t>مطبق</t>
  </si>
  <si>
    <t>مطابقة عدد الشهادات المطبوعة بالمركز و ما تم توريده إلى الصندوق</t>
  </si>
  <si>
    <t>موجود و غير مطابق</t>
  </si>
  <si>
    <t>سحب العينة نقطة واحدة مشبعة على الفلتر بجبر (التمريض مدرب)</t>
  </si>
  <si>
    <t>غلق الخزينة للتوريد فى وقت غير الذروة</t>
  </si>
  <si>
    <t>قياس الضغط والسكر والوزن لجميع المنتفعين (معايرة الأجهزة والميزان الأطوال)</t>
  </si>
  <si>
    <t xml:space="preserve">غير مطبق </t>
  </si>
  <si>
    <t>يطبق مع البعض</t>
  </si>
  <si>
    <t>مطبق على الجميع</t>
  </si>
  <si>
    <t>خطة نقل العينات يوميا من المركز وطريقة نقلها إلى المديرية (البريد)</t>
  </si>
  <si>
    <t xml:space="preserve">دفتر الإحالة للعيادات والتغذية الراجعة </t>
  </si>
  <si>
    <t>مبادرة صحة الأم و الجنين</t>
  </si>
  <si>
    <t>أسهم إسترشادية ولافتات تشير إلى مكان فحص مبادرة األم
والجنين بالوحدة</t>
  </si>
  <si>
    <t>السجلات الورقية مطابقة للمنظومة</t>
  </si>
  <si>
    <t xml:space="preserve">لا توجد سجلات </t>
  </si>
  <si>
    <t xml:space="preserve">سجلات غير مطابقة </t>
  </si>
  <si>
    <t>تمتع السيدة بالخصوصية اللازمة أثناء الفحص وأثناء
تسلم نتائج ذلك الفحص</t>
  </si>
  <si>
    <t>يطبق بعضها</t>
  </si>
  <si>
    <t>مطبق بالكامل</t>
  </si>
  <si>
    <t>تتم إحالة الحالات المتفاعل لكل من (فيروس ب– فيروس
نقص المناعة البشري) بطريقة صحيحة(التغذية الراجعة)</t>
  </si>
  <si>
    <t>التغذية الراجعة عن الحالات المحولة داخلي للسكر
التراكمي بعد قياس السكر العشوائي</t>
  </si>
  <si>
    <t>جلسات التثقيف والعلاج لمرضى السمنة من الحوامل بناء
على نتيجة الوزن والطول</t>
  </si>
  <si>
    <t xml:space="preserve">يطبق جزئيا </t>
  </si>
  <si>
    <t>يطبق بالكامل</t>
  </si>
  <si>
    <t>جدول للتوعية من خلال الندوات الثقافية والزيارات
المنزلية (الرائدة الريفية)</t>
  </si>
  <si>
    <t>مطابقة سجلات متابعة الحوامل الجدد بالرعاية الأساسية
مع سجلات المبادرة</t>
  </si>
  <si>
    <t>غير مطابق</t>
  </si>
  <si>
    <t>مطابق</t>
  </si>
  <si>
    <t>مبادرة الأمراض المزمنة</t>
  </si>
  <si>
    <t>أسهم إتجاهات للعيادة (لافتات/ ملصقات تشير بوجود المبادرة داخل الوحدة)</t>
  </si>
  <si>
    <t>توافر الأجهزة التشخيصية بالوحدة</t>
  </si>
  <si>
    <t>موجود بحالة سيئة</t>
  </si>
  <si>
    <t>مقارنة نتائج الأجهزة التشخيصية بالسجلات</t>
  </si>
  <si>
    <t>إدخال الحالات على المنظومة (الإنترنت يعمل)</t>
  </si>
  <si>
    <t>موجود</t>
  </si>
  <si>
    <t>سجل الإحالة الداخلية والخارجية</t>
  </si>
  <si>
    <t>مطابقة سجل الإحالة الداخلي مع التذاكر بالصيدلية وملفات الأسرة</t>
  </si>
  <si>
    <t>حفظ شرائط الفحص في ظروف تخزين مناسبة (2-30)</t>
  </si>
  <si>
    <t>السجلات الورقية مطابقة للمنظومة(الإدخال)</t>
  </si>
  <si>
    <t>وجود خطاب مطبوع بترتيب تعليمات وإجراءات وتشغيل المبادرة</t>
  </si>
  <si>
    <t>مرور الفريق الإشرافي من المنطقة–المديرية (دفتر الإشراف والزيارات)</t>
  </si>
  <si>
    <t>تحويل حالات النتائج الغير طبيعية إلى طبيب الوحدة
لتحديد النتائج إحالة أم علاج</t>
  </si>
  <si>
    <t xml:space="preserve">يطبق مع البعض </t>
  </si>
  <si>
    <t>جدول للتوعية من خلال الندوات الثقافية والزيارات المنزلية (الرائدة الريفية)</t>
  </si>
  <si>
    <t>مبادرة كبار الســن</t>
  </si>
  <si>
    <t>ميزان أطوال</t>
  </si>
  <si>
    <t xml:space="preserve"> موجود</t>
  </si>
  <si>
    <t>كارت المبادرة</t>
  </si>
  <si>
    <t>سجلات المترددين</t>
  </si>
  <si>
    <t>وجود بكر طباعة الشارت للـ ECG</t>
  </si>
  <si>
    <t>قراءات الرمد يتم تسجيلها والتحويل حسب النتيجة</t>
  </si>
  <si>
    <t>بروب السونار الباطني</t>
  </si>
  <si>
    <t>ربط المترددين على كبار السن بالأورام السرطانية</t>
  </si>
  <si>
    <t>ربط المترددين على كبار السن بالأمراض المزمنة</t>
  </si>
  <si>
    <t>الإستبيان النفسي- التغذوي</t>
  </si>
  <si>
    <t>ربط المترددين على كبار السن بملفات الأسرة (اذا كانت تطوير)</t>
  </si>
  <si>
    <t xml:space="preserve">                        الإجمالى: </t>
  </si>
  <si>
    <t>مبادرة الأورام السرطانية</t>
  </si>
  <si>
    <t>مرتجعات من شركة الشحن لعينات الFIT</t>
  </si>
  <si>
    <t>دفتر تسليم وتسلم المواطنين أنابيب الFIT</t>
  </si>
  <si>
    <t>التغذية الراجعة من تحويل المواطنين للحالات المحولة</t>
  </si>
  <si>
    <t>ربط المبادرة بمبادرة الأمراض المزمنة/كبار السن</t>
  </si>
  <si>
    <t xml:space="preserve">يطبق </t>
  </si>
  <si>
    <t>التابلت الخاص بالمبادرة</t>
  </si>
  <si>
    <t>ادخال الحالات على المنظومة (الإنترنت يعمل)</t>
  </si>
  <si>
    <t>تسليم الكارت لجميع المنتفعين</t>
  </si>
  <si>
    <t xml:space="preserve">                        الإجمالى:         / 8</t>
  </si>
  <si>
    <t>مبادرة الألف يوم الذهبية</t>
  </si>
  <si>
    <t>تتوافر لوحات وأسهم ارشادية موضوعة بأماكن توضح مكان
غرفة المشورة</t>
  </si>
  <si>
    <t>دورات المياة نظيفة</t>
  </si>
  <si>
    <t>ميزان أطفال رضع–مقياس اطوال أطفال اقل من سنتين</t>
  </si>
  <si>
    <t>مجموعة أدوات تقييم النمو والتطور</t>
  </si>
  <si>
    <t>التابلت</t>
  </si>
  <si>
    <t>وقت المشورة للمنتفع</t>
  </si>
  <si>
    <t>5 دقائق</t>
  </si>
  <si>
    <t>15 – 30 دقيقة</t>
  </si>
  <si>
    <t>سجل موحد لتسجيل التردد</t>
  </si>
  <si>
    <t>موجود و غيركامل / واضح</t>
  </si>
  <si>
    <t>موجود وكامل / واضح</t>
  </si>
  <si>
    <t>مواد تثقيفية خاصة بتنظيم الأسرة</t>
  </si>
  <si>
    <t>مواد تثقيفية خاصة بالرضاعة الطبيعية</t>
  </si>
  <si>
    <t>مواد تثقيفية خاصة بالتغذية السليمة</t>
  </si>
  <si>
    <t>مواد تثقيفية خاصة بتمارين الحمل والولادة الطبيعية</t>
  </si>
  <si>
    <t>مواد تثقيفية خاصة بمراحل تطور نمو الطفل</t>
  </si>
  <si>
    <t xml:space="preserve">                        الإجمالى:         / 28</t>
  </si>
  <si>
    <t>الالبان</t>
  </si>
  <si>
    <r>
      <rPr>
        <b/>
        <sz val="12"/>
        <color theme="1"/>
        <rFont val="Times New Roman"/>
      </rPr>
      <t>م</t>
    </r>
  </si>
  <si>
    <t>صرف الألبان</t>
  </si>
  <si>
    <r>
      <rPr>
        <b/>
        <sz val="12"/>
        <color theme="1"/>
        <rFont val="Times New Roman"/>
      </rPr>
      <t>يتم  تحديث تسجيل رصيد الألبان بمنظومة الألبان الإلكترونية يومياً حسب المرحلة ( تحت سن 6 شهور / أكثر من 6 شهور)</t>
    </r>
  </si>
  <si>
    <r>
      <rPr>
        <b/>
        <sz val="12"/>
        <color theme="1"/>
        <rFont val="Times New Roman"/>
      </rPr>
      <t xml:space="preserve">تطابق رصيد المنظومة  مع سجل المنصرف الشهرى ( دفتر 44) </t>
    </r>
  </si>
  <si>
    <r>
      <rPr>
        <b/>
        <sz val="12"/>
        <color theme="1"/>
        <rFont val="Times New Roman"/>
      </rPr>
      <t>الملصق التعريفى للألبان على الأرفف محدث و مطابق لرصيد المنظومة</t>
    </r>
  </si>
  <si>
    <r>
      <rPr>
        <b/>
        <sz val="12"/>
        <color theme="1"/>
        <rFont val="Times New Roman"/>
      </rPr>
      <t xml:space="preserve">يتم حضور الطفل مع الأب أو الأم أو المفوض المسجل باللجنة وعلى الكارت المميكن </t>
    </r>
  </si>
  <si>
    <r>
      <rPr>
        <b/>
        <sz val="12"/>
        <color theme="1"/>
        <rFont val="Times New Roman"/>
      </rPr>
      <t>تطابق تاريخ الإيصال مع تاريخ يوم الصرف</t>
    </r>
  </si>
  <si>
    <r>
      <rPr>
        <b/>
        <sz val="12"/>
        <color theme="1"/>
        <rFont val="Times New Roman"/>
      </rPr>
      <t>تطابق  تذاكر الصرف مع إيصال الدفع</t>
    </r>
  </si>
  <si>
    <r>
      <rPr>
        <b/>
        <sz val="12"/>
        <color theme="1"/>
        <rFont val="Times New Roman"/>
      </rPr>
      <t xml:space="preserve">إدخال الصيدلي الصرف على المنظومة وصرف الكمية من الباتش الأقرب صلاحية. </t>
    </r>
  </si>
  <si>
    <r>
      <rPr>
        <b/>
        <sz val="12"/>
        <color theme="1"/>
        <rFont val="Times New Roman"/>
      </rPr>
      <t xml:space="preserve">التأكد من الإدخال على المنظومة جميع الصرفيات في نفس اليوم (عدد علب – ومرحلة) </t>
    </r>
  </si>
  <si>
    <r>
      <rPr>
        <b/>
        <sz val="12"/>
        <color theme="1"/>
        <rFont val="Times New Roman"/>
      </rPr>
      <t>لا يتم  تخزين كراتين الألبان  على الأرض وفي الطرقات</t>
    </r>
  </si>
  <si>
    <r>
      <rPr>
        <b/>
        <sz val="12"/>
        <color theme="1"/>
        <rFont val="Times New Roman"/>
      </rPr>
      <t xml:space="preserve">إتباع  إشتراطات التخزين الآمن لعبوات الألبان: يتم على الأقل: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التخزين على الأرفف أو قواعد مرتفعة عن الأرض.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قياس درجة حرارة الغرفة و الرطوبة بالصيدلية / المخزن</t>
    </r>
  </si>
  <si>
    <r>
      <rPr>
        <b/>
        <sz val="12"/>
        <color theme="1"/>
        <rFont val="Times New Roman"/>
      </rPr>
      <t>يتم  صرف الألبان في أكياس  غير شفافة.</t>
    </r>
  </si>
  <si>
    <r>
      <rPr>
        <b/>
        <sz val="12"/>
        <color theme="1"/>
        <rFont val="Times New Roman"/>
      </rPr>
      <t>الحفاظ على سرية الرقم المميكن للطفل ( لا يتم تسجيله بأى سجل و صورة الكارت).</t>
    </r>
  </si>
  <si>
    <r>
      <rPr>
        <b/>
        <sz val="12"/>
        <color theme="1"/>
        <rFont val="Times New Roman"/>
      </rPr>
      <t>لا يتم وضع الألبان في مكان ظاهر للجمهور أو بجوار شباك الصرف</t>
    </r>
  </si>
  <si>
    <r>
      <rPr>
        <b/>
        <sz val="12"/>
        <color theme="1"/>
        <rFont val="Times New Roman"/>
      </rPr>
      <t>عدم تسجيل إسم المستخدم و كلمة السر على الجهاز.</t>
    </r>
  </si>
  <si>
    <r>
      <rPr>
        <b/>
        <sz val="12"/>
        <color theme="1"/>
        <rFont val="Times New Roman"/>
      </rPr>
      <t>يتم  تحديث تسجيل رصيد الألبان بمنظومة الألبان الإلكترونية يومياً ( تحت سن 6 شهور / أكثر من 6 شهور)</t>
    </r>
  </si>
  <si>
    <t>الاجمالي</t>
  </si>
  <si>
    <t xml:space="preserve">                                                                                 نتيجة التقييم : </t>
  </si>
  <si>
    <r>
      <rPr>
        <b/>
        <sz val="14"/>
        <color theme="1"/>
        <rFont val="Times New Roman"/>
      </rPr>
      <t>م</t>
    </r>
  </si>
  <si>
    <r>
      <rPr>
        <b/>
        <sz val="14"/>
        <color theme="1"/>
        <rFont val="Times New Roman"/>
      </rPr>
      <t>البــــند</t>
    </r>
  </si>
  <si>
    <r>
      <rPr>
        <b/>
        <sz val="14"/>
        <color theme="1"/>
        <rFont val="Times New Roman"/>
      </rPr>
      <t>النسبة المئوية</t>
    </r>
  </si>
  <si>
    <r>
      <rPr>
        <b/>
        <sz val="12"/>
        <color theme="1"/>
        <rFont val="Times New Roman"/>
      </rPr>
      <t>الإشتراطات العامة</t>
    </r>
  </si>
  <si>
    <r>
      <rPr>
        <b/>
        <sz val="12"/>
        <color theme="1"/>
        <rFont val="Times New Roman"/>
      </rPr>
      <t>تقييم و مراقبة أداء الخدمات الصحية المقدمة بالمنشأة</t>
    </r>
  </si>
  <si>
    <r>
      <rPr>
        <b/>
        <sz val="12"/>
        <color theme="1"/>
        <rFont val="Times New Roman"/>
      </rPr>
      <t>السلامة البيئية</t>
    </r>
  </si>
  <si>
    <r>
      <rPr>
        <b/>
        <sz val="12"/>
        <color theme="1"/>
        <rFont val="Times New Roman"/>
      </rPr>
      <t>اللجان</t>
    </r>
  </si>
  <si>
    <r>
      <rPr>
        <b/>
        <sz val="12"/>
        <color theme="1"/>
        <rFont val="Times New Roman"/>
      </rPr>
      <t>السياسات و الإجراءات / السجلات التمريضية</t>
    </r>
  </si>
  <si>
    <r>
      <rPr>
        <b/>
        <sz val="12"/>
        <color theme="1"/>
        <rFont val="Times New Roman"/>
      </rPr>
      <t xml:space="preserve">أدلة العمل / البروتوكولات </t>
    </r>
  </si>
  <si>
    <r>
      <rPr>
        <b/>
        <sz val="12"/>
        <color theme="1"/>
        <rFont val="Times New Roman"/>
      </rPr>
      <t>القوائم بالعيادات</t>
    </r>
  </si>
  <si>
    <r>
      <rPr>
        <b/>
        <sz val="12"/>
        <color theme="1"/>
        <rFont val="Times New Roman"/>
      </rPr>
      <t>التسجيل الطبى</t>
    </r>
  </si>
  <si>
    <r>
      <rPr>
        <b/>
        <sz val="12"/>
        <color theme="1"/>
        <rFont val="Times New Roman"/>
      </rPr>
      <t>الطوارئ</t>
    </r>
  </si>
  <si>
    <r>
      <rPr>
        <b/>
        <sz val="12"/>
        <color theme="1"/>
        <rFont val="Times New Roman"/>
      </rPr>
      <t>غرفة التطعيمات</t>
    </r>
  </si>
  <si>
    <r>
      <rPr>
        <b/>
        <sz val="12"/>
        <color theme="1"/>
        <rFont val="Times New Roman"/>
      </rPr>
      <t xml:space="preserve">عيادة طب الأسرة </t>
    </r>
  </si>
  <si>
    <r>
      <rPr>
        <b/>
        <sz val="12"/>
        <color theme="1"/>
        <rFont val="Times New Roman"/>
      </rPr>
      <t>عيادة IMCI</t>
    </r>
  </si>
  <si>
    <r>
      <rPr>
        <b/>
        <sz val="12"/>
        <color theme="1"/>
        <rFont val="Times New Roman"/>
      </rPr>
      <t xml:space="preserve">عيادة رعاية الأمومة ( الحوامل) </t>
    </r>
  </si>
  <si>
    <r>
      <rPr>
        <b/>
        <sz val="12"/>
        <color theme="1"/>
        <rFont val="Times New Roman"/>
      </rPr>
      <t>متابعة الأطفال</t>
    </r>
  </si>
  <si>
    <r>
      <rPr>
        <b/>
        <sz val="12"/>
        <color theme="1"/>
        <rFont val="Times New Roman"/>
      </rPr>
      <t>تنظيم الأسرة / النسا</t>
    </r>
  </si>
  <si>
    <r>
      <rPr>
        <b/>
        <sz val="12"/>
        <color theme="1"/>
        <rFont val="Times New Roman"/>
      </rPr>
      <t>عيادة الأسنان</t>
    </r>
  </si>
  <si>
    <r>
      <rPr>
        <b/>
        <sz val="12"/>
        <color theme="1"/>
        <rFont val="Times New Roman"/>
      </rPr>
      <t>ركن الإرواء</t>
    </r>
  </si>
  <si>
    <r>
      <rPr>
        <b/>
        <sz val="12"/>
        <color theme="1"/>
        <rFont val="Times New Roman"/>
      </rPr>
      <t>الصيدلية</t>
    </r>
  </si>
  <si>
    <r>
      <rPr>
        <b/>
        <sz val="12"/>
        <color theme="1"/>
        <rFont val="Times New Roman"/>
      </rPr>
      <t>المعمل</t>
    </r>
  </si>
  <si>
    <r>
      <rPr>
        <b/>
        <sz val="12"/>
        <color theme="1"/>
        <rFont val="Times New Roman"/>
      </rPr>
      <t>الأشعة</t>
    </r>
  </si>
  <si>
    <r>
      <rPr>
        <b/>
        <sz val="12"/>
        <color theme="1"/>
        <rFont val="Times New Roman"/>
      </rPr>
      <t>غرفة التثقيف الصحى</t>
    </r>
  </si>
  <si>
    <r>
      <rPr>
        <b/>
        <sz val="12"/>
        <color theme="1"/>
        <rFont val="Times New Roman"/>
      </rPr>
      <t>التعقيم</t>
    </r>
  </si>
  <si>
    <r>
      <rPr>
        <b/>
        <sz val="12"/>
        <color theme="1"/>
        <rFont val="Times New Roman"/>
      </rPr>
      <t>وحدة غسيل المفروشات</t>
    </r>
  </si>
  <si>
    <r>
      <rPr>
        <b/>
        <sz val="12"/>
        <color theme="1"/>
        <rFont val="Times New Roman"/>
      </rPr>
      <t xml:space="preserve">سكن الفريق الطبى </t>
    </r>
  </si>
  <si>
    <r>
      <rPr>
        <b/>
        <sz val="12"/>
        <color theme="1"/>
        <rFont val="Times New Roman"/>
      </rPr>
      <t>السطح</t>
    </r>
  </si>
  <si>
    <r>
      <rPr>
        <b/>
        <sz val="12"/>
        <color theme="1"/>
        <rFont val="Times New Roman"/>
      </rPr>
      <t>خزان المياه</t>
    </r>
  </si>
  <si>
    <r>
      <rPr>
        <b/>
        <sz val="12"/>
        <color theme="1"/>
        <rFont val="Times New Roman"/>
      </rPr>
      <t>النفايات</t>
    </r>
  </si>
  <si>
    <r>
      <rPr>
        <b/>
        <sz val="12"/>
        <color theme="1"/>
        <rFont val="Times New Roman"/>
      </rPr>
      <t>المخازن</t>
    </r>
  </si>
  <si>
    <r>
      <rPr>
        <b/>
        <sz val="12"/>
        <color theme="1"/>
        <rFont val="Times New Roman"/>
      </rPr>
      <t>شئون العاملين</t>
    </r>
  </si>
  <si>
    <r>
      <rPr>
        <b/>
        <sz val="12"/>
        <color theme="1"/>
        <rFont val="Times New Roman"/>
      </rPr>
      <t>إدارة معلومات</t>
    </r>
  </si>
  <si>
    <r>
      <rPr>
        <b/>
        <sz val="12"/>
        <color theme="1"/>
        <rFont val="Times New Roman"/>
      </rPr>
      <t>مكافحة العدوى</t>
    </r>
  </si>
  <si>
    <r>
      <rPr>
        <b/>
        <sz val="12"/>
        <color theme="1"/>
        <rFont val="Times New Roman"/>
      </rPr>
      <t>النظافة</t>
    </r>
  </si>
  <si>
    <r>
      <rPr>
        <b/>
        <sz val="12"/>
        <color theme="1"/>
        <rFont val="Times New Roman"/>
      </rPr>
      <t>العلاج الطبيعى</t>
    </r>
  </si>
  <si>
    <t>اجمالي تقييم غرفة المشورة</t>
  </si>
  <si>
    <t>المبادرات والالبان</t>
  </si>
  <si>
    <r>
      <rPr>
        <b/>
        <sz val="12"/>
        <color theme="1"/>
        <rFont val="Times New Roman"/>
      </rPr>
      <t>صحة المرأة المصرية</t>
    </r>
  </si>
  <si>
    <r>
      <rPr>
        <b/>
        <sz val="12"/>
        <color theme="1"/>
        <rFont val="Times New Roman"/>
      </rPr>
      <t>الإكتشاف المبكر لضعف و فقدان السمع</t>
    </r>
  </si>
  <si>
    <r>
      <rPr>
        <b/>
        <sz val="12"/>
        <color theme="1"/>
        <rFont val="Times New Roman"/>
      </rPr>
      <t>فحوصات ما قبل الزواج</t>
    </r>
  </si>
  <si>
    <r>
      <rPr>
        <b/>
        <sz val="12"/>
        <color theme="1"/>
        <rFont val="Times New Roman"/>
      </rPr>
      <t>صحة الأم و الجنين</t>
    </r>
  </si>
  <si>
    <r>
      <rPr>
        <b/>
        <sz val="12"/>
        <color theme="1"/>
        <rFont val="Times New Roman"/>
      </rPr>
      <t>الأمراض المزمنة</t>
    </r>
  </si>
  <si>
    <r>
      <rPr>
        <b/>
        <sz val="12"/>
        <color theme="1"/>
        <rFont val="Times New Roman"/>
      </rPr>
      <t>كبار السن</t>
    </r>
  </si>
  <si>
    <r>
      <rPr>
        <b/>
        <sz val="12"/>
        <color theme="1"/>
        <rFont val="Times New Roman"/>
      </rPr>
      <t>الأورام السرطانية</t>
    </r>
  </si>
  <si>
    <r>
      <rPr>
        <b/>
        <sz val="12"/>
        <color theme="1"/>
        <rFont val="Times New Roman"/>
      </rPr>
      <t>الألف يوم الذهبية</t>
    </r>
  </si>
  <si>
    <t>اجمالي نسبة التقييم الكلية للوحدة</t>
  </si>
  <si>
    <t xml:space="preserve">توقيع القائم بالتقييم </t>
  </si>
  <si>
    <r>
      <rPr>
        <b/>
        <sz val="14"/>
        <color theme="1"/>
        <rFont val="Traditional Arabic"/>
      </rPr>
      <t xml:space="preserve">إعتماد رئيس الفريق </t>
    </r>
  </si>
  <si>
    <t>هذه المعادلة لا يتم حذفها او التعديل بها للحفاظ على المعادلات الحسابية</t>
  </si>
  <si>
    <t>المحافظة :</t>
  </si>
  <si>
    <t xml:space="preserve"> تواريخ التقييم :</t>
  </si>
  <si>
    <t xml:space="preserve"> إسم القائم بالتقييم : </t>
  </si>
  <si>
    <t xml:space="preserve">إسم المركز / الوحدة :                     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</si>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</sst>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>
    <font>
      <sz val="11"/>
      <color rgb="FF000000"/>
      <name val="Calibri"/>
      <scheme val="minor"/>
    </font>
    <font>
      <b/>
      <sz val="20"/>
      <color theme="1"/>
      <name val="Times New Roman"/>
    </font>
    <font>
      <sz val="11"/>
      <name val="Calibri"/>
    </font>
    <font>
      <b/>
      <sz val="11"/>
      <color theme="1"/>
      <name val="Calibri"/>
    </font>
    <font>
      <b/>
      <sz val="10"/>
      <color theme="1"/>
      <name val="Times New Roman"/>
    </font>
    <font>
      <b/>
      <sz val="28"/>
      <color theme="1"/>
      <name val="Times New Roman"/>
    </font>
    <font>
      <b/>
      <sz val="20"/>
      <color theme="1"/>
      <name val="Traditional Arabic"/>
    </font>
    <font>
      <b/>
      <sz val="18"/>
      <color theme="1"/>
      <name val="Times New Roman"/>
    </font>
    <font>
      <b/>
      <sz val="14"/>
      <color theme="1"/>
      <name val="Times New Roman"/>
    </font>
    <font>
      <b/>
      <sz val="11"/>
      <color theme="1"/>
      <name val="SKR HEAD1"/>
    </font>
    <font>
      <b/>
      <sz val="12"/>
      <color theme="1"/>
      <name val="Times New Roman"/>
    </font>
    <font>
      <b/>
      <sz val="16"/>
      <color rgb="FF000000"/>
      <name val="Calibri"/>
    </font>
    <font>
      <b/>
      <sz val="11"/>
      <color theme="1"/>
      <name val="Times New Roman"/>
    </font>
    <font>
      <b/>
      <sz val="12"/>
      <color rgb="FF000000"/>
      <name val="Times New Roman"/>
    </font>
    <font>
      <b/>
      <u/>
      <sz val="12"/>
      <color theme="1"/>
      <name val="Times New Roman"/>
    </font>
    <font>
      <b/>
      <sz val="14"/>
      <color theme="1"/>
      <name val="Arial"/>
    </font>
    <font>
      <b/>
      <sz val="12"/>
      <color theme="1"/>
      <name val="Arial"/>
    </font>
    <font>
      <b/>
      <sz val="20"/>
      <color rgb="FF000000"/>
      <name val="Times New Roman"/>
    </font>
    <font>
      <b/>
      <sz val="16"/>
      <color theme="1"/>
      <name val="Times New Roman"/>
    </font>
    <font>
      <b/>
      <sz val="11"/>
      <color rgb="FF000000"/>
      <name val="Times New Roman"/>
    </font>
    <font>
      <b/>
      <sz val="13"/>
      <color theme="1"/>
      <name val="Times New Roman"/>
    </font>
    <font>
      <b/>
      <sz val="7"/>
      <color rgb="FF000000"/>
      <name val="Times New Roman"/>
    </font>
    <font>
      <b/>
      <sz val="14"/>
      <color theme="1"/>
      <name val="Calibri"/>
    </font>
    <font>
      <sz val="11"/>
      <color theme="1"/>
      <name val="Calibri"/>
    </font>
    <font>
      <b/>
      <sz val="16"/>
      <color theme="1"/>
      <name val="Traditional Arabic"/>
    </font>
    <font>
      <b/>
      <sz val="14"/>
      <color theme="1"/>
      <name val="Traditional Arabic"/>
    </font>
    <font>
      <b/>
      <sz val="12"/>
      <color theme="1"/>
      <name val="Wingdings"/>
    </font>
    <font>
      <b/>
      <sz val="13"/>
      <color rgb="FF000000"/>
      <name val="Times New Roman"/>
    </font>
    <font>
      <b/>
      <u/>
      <sz val="12"/>
      <color theme="1"/>
      <name val="Wingdings"/>
    </font>
    <font>
      <b/>
      <sz val="12"/>
      <color theme="1"/>
      <name val="Traditional Arabic"/>
    </font>
    <font>
      <b/>
      <sz val="12"/>
      <color theme="1"/>
      <name val="TimesNewRomanPS-BoldMT"/>
    </font>
    <font>
      <b/>
      <u/>
      <sz val="12"/>
      <color rgb="FFC00000"/>
      <name val="Times New Roman"/>
    </font>
    <font>
      <b/>
      <sz val="10"/>
      <color rgb="FF000000"/>
      <name val="Times New Roman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rgb="FFFF66CC"/>
        <bgColor rgb="FFFF66CC"/>
      </patternFill>
    </fill>
    <fill>
      <patternFill patternType="solid">
        <fgColor rgb="FFFFCC99"/>
        <bgColor rgb="FFFFCC99"/>
      </patternFill>
    </fill>
    <fill>
      <patternFill patternType="solid">
        <fgColor rgb="FFB4C7E7"/>
        <bgColor rgb="FFB4C7E7"/>
      </patternFill>
    </fill>
    <fill>
      <patternFill patternType="solid">
        <fgColor rgb="FFFBD4B4"/>
        <bgColor rgb="FFFBD4B4"/>
      </patternFill>
    </fill>
    <fill>
      <patternFill patternType="solid">
        <fgColor rgb="FFFFFFFF"/>
        <bgColor rgb="FFFFFFFF"/>
      </patternFill>
    </fill>
    <fill>
      <patternFill patternType="solid">
        <fgColor rgb="FFFF85FF"/>
        <bgColor rgb="FFFF85FF"/>
      </patternFill>
    </fill>
    <fill>
      <patternFill patternType="solid">
        <fgColor rgb="FFCCC0D9"/>
        <bgColor rgb="FFCCC0D9"/>
      </patternFill>
    </fill>
    <fill>
      <patternFill patternType="solid">
        <fgColor rgb="FFA8D08E"/>
        <bgColor rgb="FFA8D08E"/>
      </patternFill>
    </fill>
    <fill>
      <patternFill patternType="solid">
        <fgColor rgb="FFFFFF99"/>
        <bgColor rgb="FFFFFF99"/>
      </patternFill>
    </fill>
    <fill>
      <patternFill patternType="solid">
        <fgColor rgb="FF8FABDB"/>
        <bgColor rgb="FF8FABDB"/>
      </patternFill>
    </fill>
    <fill>
      <patternFill patternType="solid">
        <fgColor rgb="FFC2D69B"/>
        <bgColor rgb="FFC2D69B"/>
      </patternFill>
    </fill>
    <fill>
      <patternFill patternType="solid">
        <fgColor rgb="FF76923C"/>
        <bgColor rgb="FF76923C"/>
      </patternFill>
    </fill>
    <fill>
      <patternFill patternType="solid">
        <fgColor rgb="FFBED7EE"/>
        <bgColor rgb="FFBED7EE"/>
      </patternFill>
    </fill>
    <fill>
      <patternFill patternType="solid">
        <fgColor rgb="FF92D050"/>
        <bgColor rgb="FF92D050"/>
      </patternFill>
    </fill>
    <fill>
      <patternFill patternType="solid">
        <fgColor rgb="FFD2EAF1"/>
        <bgColor rgb="FFD2EAF1"/>
      </patternFill>
    </fill>
    <fill>
      <patternFill patternType="solid">
        <fgColor rgb="FFFF0000"/>
        <bgColor rgb="FFFF0000"/>
      </patternFill>
    </fill>
  </fills>
  <borders count="10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ck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/>
      <top style="thick">
        <color rgb="FF000000"/>
      </top>
      <bottom/>
      <diagonal/>
    </border>
    <border>
      <left/>
      <right style="thin">
        <color rgb="FF000000"/>
      </right>
      <top style="thick">
        <color rgb="FF000000"/>
      </top>
      <bottom/>
      <diagonal/>
    </border>
    <border>
      <left style="thin">
        <color rgb="FF000000"/>
      </left>
      <right style="thick">
        <color rgb="FF000000"/>
      </right>
      <top style="thick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/>
      <diagonal/>
    </border>
    <border>
      <left/>
      <right/>
      <top/>
      <bottom/>
      <diagonal/>
    </border>
    <border>
      <left/>
      <right/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ck">
        <color rgb="FF4BACC6"/>
      </left>
      <right style="medium">
        <color rgb="FF4BACC6"/>
      </right>
      <top style="thick">
        <color rgb="FF4BACC6"/>
      </top>
      <bottom style="medium">
        <color rgb="FF4BACC6"/>
      </bottom>
      <diagonal/>
    </border>
    <border>
      <left style="medium">
        <color rgb="FF4BACC6"/>
      </left>
      <right style="medium">
        <color rgb="FF4BACC6"/>
      </right>
      <top style="thick">
        <color rgb="FF4BACC6"/>
      </top>
      <bottom style="medium">
        <color rgb="FF4BACC6"/>
      </bottom>
      <diagonal/>
    </border>
    <border>
      <left style="medium">
        <color rgb="FF4BACC6"/>
      </left>
      <right style="thick">
        <color rgb="FF4BACC6"/>
      </right>
      <top style="thick">
        <color rgb="FF4BACC6"/>
      </top>
      <bottom style="medium">
        <color rgb="FF4BACC6"/>
      </bottom>
      <diagonal/>
    </border>
    <border>
      <left style="thick">
        <color rgb="FF4BACC6"/>
      </left>
      <right style="medium">
        <color rgb="FF4BACC6"/>
      </right>
      <top style="medium">
        <color rgb="FF4BACC6"/>
      </top>
      <bottom style="medium">
        <color rgb="FF4BACC6"/>
      </bottom>
      <diagonal/>
    </border>
    <border>
      <left style="medium">
        <color rgb="FF4BACC6"/>
      </left>
      <right style="medium">
        <color rgb="FF4BACC6"/>
      </right>
      <top style="medium">
        <color rgb="FF4BACC6"/>
      </top>
      <bottom style="medium">
        <color rgb="FF4BACC6"/>
      </bottom>
      <diagonal/>
    </border>
    <border>
      <left style="medium">
        <color rgb="FF4BACC6"/>
      </left>
      <right style="thick">
        <color rgb="FF4BACC6"/>
      </right>
      <top style="medium">
        <color rgb="FF4BACC6"/>
      </top>
      <bottom style="thick">
        <color rgb="FF4BACC6"/>
      </bottom>
      <diagonal/>
    </border>
    <border>
      <left style="thick">
        <color rgb="FF4BACC6"/>
      </left>
      <right/>
      <top style="medium">
        <color rgb="FF4BACC6"/>
      </top>
      <bottom style="medium">
        <color rgb="FF4BACC6"/>
      </bottom>
      <diagonal/>
    </border>
    <border>
      <left/>
      <right/>
      <top style="medium">
        <color rgb="FF4BACC6"/>
      </top>
      <bottom style="medium">
        <color rgb="FF4BACC6"/>
      </bottom>
      <diagonal/>
    </border>
    <border>
      <left/>
      <right style="thick">
        <color rgb="FF4BACC6"/>
      </right>
      <top style="medium">
        <color rgb="FF4BACC6"/>
      </top>
      <bottom style="medium">
        <color rgb="FF4BACC6"/>
      </bottom>
      <diagonal/>
    </border>
    <border>
      <left style="thick">
        <color rgb="FF4BACC6"/>
      </left>
      <right/>
      <top style="medium">
        <color rgb="FF4BACC6"/>
      </top>
      <bottom style="thick">
        <color rgb="FF4BACC6"/>
      </bottom>
      <diagonal/>
    </border>
    <border>
      <left/>
      <right style="medium">
        <color rgb="FF4BACC6"/>
      </right>
      <top style="medium">
        <color rgb="FF4BACC6"/>
      </top>
      <bottom style="thick">
        <color rgb="FF4BACC6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80">
    <xf numFmtId="0" fontId="0" fillId="0" borderId="0" xfId="0" applyAlignment="1">
      <alignment vertical="center"/>
    </xf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0" borderId="0" xfId="0" applyFont="1" applyAlignment="1">
      <alignment horizontal="right" vertical="top" wrapText="1" readingOrder="2"/>
    </xf>
    <xf numFmtId="0" fontId="9" fillId="6" borderId="30" xfId="0" applyFont="1" applyFill="1" applyBorder="1" applyAlignment="1">
      <alignment horizontal="center" vertical="center" wrapText="1" readingOrder="2"/>
    </xf>
    <xf numFmtId="0" fontId="11" fillId="0" borderId="34" xfId="0" applyFont="1" applyBorder="1" applyAlignment="1">
      <alignment horizontal="center" vertical="center"/>
    </xf>
    <xf numFmtId="0" fontId="12" fillId="0" borderId="35" xfId="0" applyFont="1" applyBorder="1" applyAlignment="1">
      <alignment horizontal="center" vertical="center" wrapText="1" readingOrder="2"/>
    </xf>
    <xf numFmtId="9" fontId="8" fillId="7" borderId="39" xfId="0" applyNumberFormat="1" applyFont="1" applyFill="1" applyBorder="1" applyAlignment="1">
      <alignment horizontal="center" vertical="center" wrapText="1" readingOrder="2"/>
    </xf>
    <xf numFmtId="9" fontId="8" fillId="7" borderId="35" xfId="0" applyNumberFormat="1" applyFont="1" applyFill="1" applyBorder="1" applyAlignment="1">
      <alignment horizontal="center" vertical="center" wrapText="1" readingOrder="2"/>
    </xf>
    <xf numFmtId="9" fontId="8" fillId="7" borderId="43" xfId="0" applyNumberFormat="1" applyFont="1" applyFill="1" applyBorder="1" applyAlignment="1">
      <alignment horizontal="center" vertical="center" wrapText="1" readingOrder="2"/>
    </xf>
    <xf numFmtId="0" fontId="18" fillId="10" borderId="47" xfId="0" applyFont="1" applyFill="1" applyBorder="1" applyAlignment="1">
      <alignment horizontal="center" vertical="center" wrapText="1" readingOrder="2"/>
    </xf>
    <xf numFmtId="0" fontId="8" fillId="10" borderId="48" xfId="0" applyFont="1" applyFill="1" applyBorder="1" applyAlignment="1">
      <alignment horizontal="center" vertical="center" wrapText="1" readingOrder="2"/>
    </xf>
    <xf numFmtId="0" fontId="18" fillId="10" borderId="30" xfId="0" applyFont="1" applyFill="1" applyBorder="1" applyAlignment="1">
      <alignment horizontal="center" vertical="center" wrapText="1" readingOrder="2"/>
    </xf>
    <xf numFmtId="0" fontId="8" fillId="10" borderId="55" xfId="0" applyFont="1" applyFill="1" applyBorder="1" applyAlignment="1">
      <alignment horizontal="center" vertical="center" wrapText="1" readingOrder="2"/>
    </xf>
    <xf numFmtId="0" fontId="8" fillId="0" borderId="30" xfId="0" applyFont="1" applyBorder="1" applyAlignment="1">
      <alignment horizontal="center" vertical="center" wrapText="1" readingOrder="2"/>
    </xf>
    <xf numFmtId="0" fontId="19" fillId="0" borderId="55" xfId="0" applyFont="1" applyBorder="1" applyAlignment="1">
      <alignment horizontal="center" vertical="center" wrapText="1" readingOrder="2"/>
    </xf>
    <xf numFmtId="0" fontId="12" fillId="0" borderId="55" xfId="0" applyFont="1" applyBorder="1" applyAlignment="1">
      <alignment horizontal="center" vertical="center" wrapText="1" readingOrder="2"/>
    </xf>
    <xf numFmtId="0" fontId="12" fillId="10" borderId="55" xfId="0" applyFont="1" applyFill="1" applyBorder="1" applyAlignment="1">
      <alignment horizontal="center" vertical="center" wrapText="1" readingOrder="2"/>
    </xf>
    <xf numFmtId="0" fontId="10" fillId="0" borderId="55" xfId="0" applyFont="1" applyBorder="1" applyAlignment="1">
      <alignment horizontal="center" vertical="center" wrapText="1" readingOrder="2"/>
    </xf>
    <xf numFmtId="0" fontId="8" fillId="0" borderId="59" xfId="0" applyFont="1" applyBorder="1" applyAlignment="1">
      <alignment horizontal="center" vertical="center" wrapText="1" readingOrder="2"/>
    </xf>
    <xf numFmtId="0" fontId="19" fillId="0" borderId="60" xfId="0" applyFont="1" applyBorder="1" applyAlignment="1">
      <alignment horizontal="center" vertical="center" wrapText="1" readingOrder="2"/>
    </xf>
    <xf numFmtId="0" fontId="10" fillId="0" borderId="60" xfId="0" applyFont="1" applyBorder="1" applyAlignment="1">
      <alignment horizontal="center" vertical="center" wrapText="1" readingOrder="2"/>
    </xf>
    <xf numFmtId="0" fontId="11" fillId="0" borderId="62" xfId="0" applyFont="1" applyBorder="1" applyAlignment="1">
      <alignment horizontal="center" vertical="center"/>
    </xf>
    <xf numFmtId="0" fontId="10" fillId="10" borderId="30" xfId="0" applyFont="1" applyFill="1" applyBorder="1" applyAlignment="1">
      <alignment horizontal="center" vertical="center" wrapText="1" readingOrder="2"/>
    </xf>
    <xf numFmtId="0" fontId="10" fillId="10" borderId="55" xfId="0" applyFont="1" applyFill="1" applyBorder="1" applyAlignment="1">
      <alignment horizontal="center" vertical="center" wrapText="1" readingOrder="2"/>
    </xf>
    <xf numFmtId="0" fontId="8" fillId="10" borderId="66" xfId="0" applyFont="1" applyFill="1" applyBorder="1" applyAlignment="1">
      <alignment horizontal="center" vertical="center" wrapText="1" readingOrder="2"/>
    </xf>
    <xf numFmtId="0" fontId="10" fillId="0" borderId="30" xfId="0" applyFont="1" applyBorder="1" applyAlignment="1">
      <alignment horizontal="center" vertical="center" wrapText="1" readingOrder="2"/>
    </xf>
    <xf numFmtId="0" fontId="10" fillId="0" borderId="59" xfId="0" applyFont="1" applyBorder="1" applyAlignment="1">
      <alignment horizontal="center" vertical="center" wrapText="1" readingOrder="2"/>
    </xf>
    <xf numFmtId="0" fontId="21" fillId="0" borderId="55" xfId="0" applyFont="1" applyBorder="1" applyAlignment="1">
      <alignment horizontal="center" vertical="center" wrapText="1" readingOrder="2"/>
    </xf>
    <xf numFmtId="0" fontId="13" fillId="0" borderId="55" xfId="0" applyFont="1" applyBorder="1" applyAlignment="1">
      <alignment horizontal="center" vertical="center" wrapText="1" readingOrder="2"/>
    </xf>
    <xf numFmtId="9" fontId="8" fillId="2" borderId="68" xfId="0" applyNumberFormat="1" applyFont="1" applyFill="1" applyBorder="1" applyAlignment="1">
      <alignment horizontal="center" vertical="center" wrapText="1" readingOrder="2"/>
    </xf>
    <xf numFmtId="0" fontId="4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8" fillId="12" borderId="55" xfId="0" applyFont="1" applyFill="1" applyBorder="1" applyAlignment="1">
      <alignment horizontal="center" vertical="center" wrapText="1" readingOrder="2"/>
    </xf>
    <xf numFmtId="0" fontId="8" fillId="0" borderId="55" xfId="0" applyFont="1" applyBorder="1" applyAlignment="1">
      <alignment horizontal="center" vertical="center" wrapText="1" readingOrder="2"/>
    </xf>
    <xf numFmtId="9" fontId="8" fillId="2" borderId="43" xfId="0" applyNumberFormat="1" applyFont="1" applyFill="1" applyBorder="1" applyAlignment="1">
      <alignment horizontal="center" vertical="center" wrapText="1" readingOrder="2"/>
    </xf>
    <xf numFmtId="0" fontId="8" fillId="6" borderId="77" xfId="0" applyFont="1" applyFill="1" applyBorder="1" applyAlignment="1">
      <alignment horizontal="center" vertical="center" wrapText="1" readingOrder="2"/>
    </xf>
    <xf numFmtId="0" fontId="22" fillId="6" borderId="78" xfId="0" applyFont="1" applyFill="1" applyBorder="1" applyAlignment="1">
      <alignment horizontal="center" vertical="center"/>
    </xf>
    <xf numFmtId="0" fontId="8" fillId="6" borderId="78" xfId="0" applyFont="1" applyFill="1" applyBorder="1" applyAlignment="1">
      <alignment horizontal="center" vertical="center" wrapText="1" readingOrder="2"/>
    </xf>
    <xf numFmtId="0" fontId="8" fillId="6" borderId="79" xfId="0" applyFont="1" applyFill="1" applyBorder="1" applyAlignment="1">
      <alignment horizontal="center" vertical="center" wrapText="1" readingOrder="2"/>
    </xf>
    <xf numFmtId="0" fontId="8" fillId="13" borderId="55" xfId="0" applyFont="1" applyFill="1" applyBorder="1" applyAlignment="1">
      <alignment horizontal="center" vertical="center" wrapText="1" readingOrder="2"/>
    </xf>
    <xf numFmtId="9" fontId="8" fillId="6" borderId="78" xfId="0" applyNumberFormat="1" applyFont="1" applyFill="1" applyBorder="1" applyAlignment="1">
      <alignment horizontal="center" vertical="center" wrapText="1" readingOrder="2"/>
    </xf>
    <xf numFmtId="0" fontId="10" fillId="5" borderId="30" xfId="0" applyFont="1" applyFill="1" applyBorder="1" applyAlignment="1">
      <alignment horizontal="center" vertical="center" wrapText="1" readingOrder="2"/>
    </xf>
    <xf numFmtId="0" fontId="1" fillId="5" borderId="55" xfId="0" applyFont="1" applyFill="1" applyBorder="1" applyAlignment="1">
      <alignment horizontal="center" vertical="center" wrapText="1" readingOrder="2"/>
    </xf>
    <xf numFmtId="0" fontId="10" fillId="5" borderId="35" xfId="0" applyFont="1" applyFill="1" applyBorder="1" applyAlignment="1">
      <alignment horizontal="center" vertical="center" wrapText="1" readingOrder="2"/>
    </xf>
    <xf numFmtId="0" fontId="8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9" fontId="22" fillId="15" borderId="78" xfId="0" applyNumberFormat="1" applyFont="1" applyFill="1" applyBorder="1" applyAlignment="1">
      <alignment horizontal="center" vertical="center"/>
    </xf>
    <xf numFmtId="0" fontId="8" fillId="0" borderId="87" xfId="0" applyFont="1" applyBorder="1" applyAlignment="1">
      <alignment horizontal="center" vertical="center" wrapText="1" readingOrder="2"/>
    </xf>
    <xf numFmtId="0" fontId="8" fillId="16" borderId="88" xfId="0" applyFont="1" applyFill="1" applyBorder="1" applyAlignment="1">
      <alignment horizontal="center" vertical="center" wrapText="1" readingOrder="2"/>
    </xf>
    <xf numFmtId="0" fontId="8" fillId="0" borderId="89" xfId="0" applyFont="1" applyBorder="1" applyAlignment="1">
      <alignment horizontal="center" vertical="center" wrapText="1" readingOrder="2"/>
    </xf>
    <xf numFmtId="0" fontId="8" fillId="16" borderId="90" xfId="0" applyFont="1" applyFill="1" applyBorder="1" applyAlignment="1">
      <alignment horizontal="center" vertical="center" wrapText="1" readingOrder="2"/>
    </xf>
    <xf numFmtId="0" fontId="10" fillId="14" borderId="91" xfId="0" applyFont="1" applyFill="1" applyBorder="1" applyAlignment="1">
      <alignment horizontal="center" vertical="center" wrapText="1" readingOrder="2"/>
    </xf>
    <xf numFmtId="9" fontId="22" fillId="14" borderId="92" xfId="0" applyNumberFormat="1" applyFont="1" applyFill="1" applyBorder="1" applyAlignment="1">
      <alignment horizontal="center" vertical="center"/>
    </xf>
    <xf numFmtId="0" fontId="10" fillId="16" borderId="91" xfId="0" applyFont="1" applyFill="1" applyBorder="1" applyAlignment="1">
      <alignment horizontal="center" vertical="center" wrapText="1" readingOrder="2"/>
    </xf>
    <xf numFmtId="0" fontId="8" fillId="0" borderId="90" xfId="0" applyFont="1" applyBorder="1" applyAlignment="1">
      <alignment horizontal="center" vertical="center" wrapText="1" readingOrder="2"/>
    </xf>
    <xf numFmtId="9" fontId="22" fillId="4" borderId="92" xfId="0" applyNumberFormat="1" applyFont="1" applyFill="1" applyBorder="1" applyAlignment="1">
      <alignment horizontal="center" vertical="center"/>
    </xf>
    <xf numFmtId="9" fontId="22" fillId="15" borderId="92" xfId="0" applyNumberFormat="1" applyFont="1" applyFill="1" applyBorder="1" applyAlignment="1">
      <alignment horizontal="center" vertical="center"/>
    </xf>
    <xf numFmtId="0" fontId="23" fillId="17" borderId="78" xfId="0" applyFont="1" applyFill="1" applyBorder="1" applyAlignment="1">
      <alignment horizontal="center" vertical="center"/>
    </xf>
    <xf numFmtId="0" fontId="23" fillId="0" borderId="0" xfId="0" applyFont="1"/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25" fillId="3" borderId="4" xfId="0" applyFont="1" applyFill="1" applyBorder="1" applyAlignment="1">
      <alignment horizontal="center" vertical="top" wrapText="1" readingOrder="2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25" fillId="3" borderId="98" xfId="0" applyFont="1" applyFill="1" applyBorder="1" applyAlignment="1">
      <alignment horizontal="center" vertical="top" wrapText="1" readingOrder="2"/>
    </xf>
    <xf numFmtId="0" fontId="2" fillId="0" borderId="99" xfId="0" applyFont="1" applyBorder="1" applyAlignment="1">
      <alignment vertical="center"/>
    </xf>
    <xf numFmtId="0" fontId="2" fillId="0" borderId="100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18" fillId="3" borderId="1" xfId="0" applyFont="1" applyFill="1" applyBorder="1" applyAlignment="1">
      <alignment horizontal="left" vertical="center" wrapText="1" readingOrder="2"/>
    </xf>
    <xf numFmtId="0" fontId="24" fillId="3" borderId="93" xfId="0" applyFont="1" applyFill="1" applyBorder="1" applyAlignment="1">
      <alignment horizontal="center" vertical="center" wrapText="1" readingOrder="2"/>
    </xf>
    <xf numFmtId="0" fontId="2" fillId="0" borderId="94" xfId="0" applyFont="1" applyBorder="1" applyAlignment="1">
      <alignment vertical="center"/>
    </xf>
    <xf numFmtId="0" fontId="2" fillId="0" borderId="95" xfId="0" applyFont="1" applyBorder="1" applyAlignment="1">
      <alignment vertical="center"/>
    </xf>
    <xf numFmtId="0" fontId="1" fillId="15" borderId="96" xfId="0" applyFont="1" applyFill="1" applyBorder="1" applyAlignment="1">
      <alignment horizontal="center" vertical="center" wrapText="1" readingOrder="2"/>
    </xf>
    <xf numFmtId="0" fontId="2" fillId="0" borderId="97" xfId="0" applyFont="1" applyBorder="1" applyAlignment="1">
      <alignment vertical="center"/>
    </xf>
    <xf numFmtId="0" fontId="4" fillId="0" borderId="0" xfId="0" applyFont="1" applyAlignment="1">
      <alignment horizontal="center"/>
    </xf>
    <xf numFmtId="0" fontId="0" fillId="0" borderId="0" xfId="0" applyAlignment="1">
      <alignment vertical="center"/>
    </xf>
    <xf numFmtId="0" fontId="10" fillId="0" borderId="31" xfId="0" applyFont="1" applyBorder="1" applyAlignment="1">
      <alignment horizontal="right" vertical="center" wrapText="1" readingOrder="2"/>
    </xf>
    <xf numFmtId="0" fontId="2" fillId="0" borderId="32" xfId="0" applyFont="1" applyBorder="1" applyAlignment="1">
      <alignment vertical="center"/>
    </xf>
    <xf numFmtId="0" fontId="2" fillId="0" borderId="33" xfId="0" applyFont="1" applyBorder="1" applyAlignment="1">
      <alignment vertical="center"/>
    </xf>
    <xf numFmtId="0" fontId="8" fillId="8" borderId="36" xfId="0" applyFont="1" applyFill="1" applyBorder="1" applyAlignment="1">
      <alignment horizontal="center" vertical="top" wrapText="1" readingOrder="2"/>
    </xf>
    <xf numFmtId="0" fontId="2" fillId="0" borderId="37" xfId="0" applyFont="1" applyBorder="1" applyAlignment="1">
      <alignment vertical="center"/>
    </xf>
    <xf numFmtId="0" fontId="2" fillId="0" borderId="38" xfId="0" applyFont="1" applyBorder="1" applyAlignment="1">
      <alignment vertical="center"/>
    </xf>
    <xf numFmtId="0" fontId="8" fillId="7" borderId="40" xfId="0" applyFont="1" applyFill="1" applyBorder="1" applyAlignment="1">
      <alignment horizontal="center" vertical="top" wrapText="1" readingOrder="2"/>
    </xf>
    <xf numFmtId="0" fontId="2" fillId="0" borderId="41" xfId="0" applyFont="1" applyBorder="1" applyAlignment="1">
      <alignment vertical="center"/>
    </xf>
    <xf numFmtId="0" fontId="2" fillId="0" borderId="42" xfId="0" applyFont="1" applyBorder="1" applyAlignment="1">
      <alignment vertical="center"/>
    </xf>
    <xf numFmtId="0" fontId="10" fillId="0" borderId="31" xfId="0" applyFont="1" applyBorder="1" applyAlignment="1">
      <alignment horizontal="right" vertical="top" wrapText="1" readingOrder="2"/>
    </xf>
    <xf numFmtId="0" fontId="8" fillId="7" borderId="36" xfId="0" applyFont="1" applyFill="1" applyBorder="1" applyAlignment="1">
      <alignment horizontal="center" vertical="top" wrapText="1" readingOrder="2"/>
    </xf>
    <xf numFmtId="0" fontId="8" fillId="5" borderId="36" xfId="0" applyFont="1" applyFill="1" applyBorder="1" applyAlignment="1">
      <alignment horizontal="center" vertical="top" wrapText="1" readingOrder="2"/>
    </xf>
    <xf numFmtId="0" fontId="15" fillId="5" borderId="36" xfId="0" applyFont="1" applyFill="1" applyBorder="1" applyAlignment="1">
      <alignment horizontal="center" vertical="top" wrapText="1" readingOrder="2"/>
    </xf>
    <xf numFmtId="0" fontId="8" fillId="4" borderId="36" xfId="0" applyFont="1" applyFill="1" applyBorder="1" applyAlignment="1">
      <alignment horizontal="center" vertical="top" wrapText="1" readingOrder="2"/>
    </xf>
    <xf numFmtId="0" fontId="13" fillId="0" borderId="31" xfId="0" applyFont="1" applyBorder="1" applyAlignment="1">
      <alignment horizontal="right" vertical="top" wrapText="1" readingOrder="2"/>
    </xf>
    <xf numFmtId="0" fontId="14" fillId="0" borderId="31" xfId="0" applyFont="1" applyBorder="1" applyAlignment="1">
      <alignment horizontal="right" vertical="top" wrapText="1" readingOrder="2"/>
    </xf>
    <xf numFmtId="0" fontId="10" fillId="0" borderId="31" xfId="0" applyFont="1" applyBorder="1" applyAlignment="1">
      <alignment horizontal="right" vertical="top" wrapText="1" readingOrder="1"/>
    </xf>
    <xf numFmtId="0" fontId="8" fillId="5" borderId="36" xfId="0" applyFont="1" applyFill="1" applyBorder="1" applyAlignment="1">
      <alignment horizontal="center" vertical="center" wrapText="1" readingOrder="2"/>
    </xf>
    <xf numFmtId="0" fontId="1" fillId="2" borderId="1" xfId="0" applyFont="1" applyFill="1" applyBorder="1" applyAlignment="1">
      <alignment horizontal="right" vertical="center" wrapText="1" readingOrder="2"/>
    </xf>
    <xf numFmtId="0" fontId="1" fillId="2" borderId="1" xfId="0" applyFont="1" applyFill="1" applyBorder="1" applyAlignment="1">
      <alignment horizontal="right" vertical="top" wrapText="1" readingOrder="2"/>
    </xf>
    <xf numFmtId="0" fontId="6" fillId="3" borderId="12" xfId="0" applyFont="1" applyFill="1" applyBorder="1" applyAlignment="1">
      <alignment horizontal="center" vertical="center" wrapText="1" readingOrder="2"/>
    </xf>
    <xf numFmtId="0" fontId="2" fillId="0" borderId="18" xfId="0" applyFont="1" applyBorder="1" applyAlignment="1">
      <alignment vertical="center"/>
    </xf>
    <xf numFmtId="0" fontId="6" fillId="3" borderId="16" xfId="0" applyFont="1" applyFill="1" applyBorder="1" applyAlignment="1">
      <alignment horizontal="center" vertical="center" wrapText="1" readingOrder="2"/>
    </xf>
    <xf numFmtId="0" fontId="2" fillId="0" borderId="22" xfId="0" applyFont="1" applyBorder="1" applyAlignment="1">
      <alignment vertical="center"/>
    </xf>
    <xf numFmtId="0" fontId="6" fillId="3" borderId="17" xfId="0" applyFont="1" applyFill="1" applyBorder="1" applyAlignment="1">
      <alignment horizontal="center" vertical="center" wrapText="1" readingOrder="2"/>
    </xf>
    <xf numFmtId="0" fontId="2" fillId="0" borderId="23" xfId="0" applyFont="1" applyBorder="1" applyAlignment="1">
      <alignment vertical="center"/>
    </xf>
    <xf numFmtId="0" fontId="5" fillId="2" borderId="4" xfId="0" applyFont="1" applyFill="1" applyBorder="1" applyAlignment="1">
      <alignment horizontal="center" vertical="center" wrapText="1" readingOrder="2"/>
    </xf>
    <xf numFmtId="0" fontId="2" fillId="0" borderId="5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6" fillId="3" borderId="13" xfId="0" applyFont="1" applyFill="1" applyBorder="1" applyAlignment="1">
      <alignment horizontal="center" vertical="center" wrapText="1" readingOrder="2"/>
    </xf>
    <xf numFmtId="0" fontId="2" fillId="0" borderId="14" xfId="0" applyFont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20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7" fillId="4" borderId="24" xfId="0" applyFont="1" applyFill="1" applyBorder="1" applyAlignment="1">
      <alignment horizontal="center" vertical="top" wrapText="1" readingOrder="2"/>
    </xf>
    <xf numFmtId="0" fontId="2" fillId="0" borderId="25" xfId="0" applyFont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8" fillId="5" borderId="27" xfId="0" applyFont="1" applyFill="1" applyBorder="1" applyAlignment="1">
      <alignment horizontal="center" vertical="top" wrapText="1" readingOrder="2"/>
    </xf>
    <xf numFmtId="0" fontId="2" fillId="0" borderId="28" xfId="0" applyFont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19" fillId="6" borderId="31" xfId="0" applyFont="1" applyFill="1" applyBorder="1" applyAlignment="1">
      <alignment horizontal="center" vertical="center" wrapText="1" readingOrder="2"/>
    </xf>
    <xf numFmtId="0" fontId="19" fillId="0" borderId="31" xfId="0" applyFont="1" applyBorder="1" applyAlignment="1">
      <alignment horizontal="center" vertical="center" wrapText="1" readingOrder="2"/>
    </xf>
    <xf numFmtId="0" fontId="8" fillId="2" borderId="40" xfId="0" applyFont="1" applyFill="1" applyBorder="1" applyAlignment="1">
      <alignment horizontal="center" vertical="center" wrapText="1" readingOrder="2"/>
    </xf>
    <xf numFmtId="0" fontId="2" fillId="0" borderId="67" xfId="0" applyFont="1" applyBorder="1" applyAlignment="1">
      <alignment vertical="center"/>
    </xf>
    <xf numFmtId="0" fontId="10" fillId="6" borderId="31" xfId="0" applyFont="1" applyFill="1" applyBorder="1" applyAlignment="1">
      <alignment horizontal="center" vertical="center" wrapText="1" readingOrder="2"/>
    </xf>
    <xf numFmtId="0" fontId="17" fillId="9" borderId="63" xfId="0" applyFont="1" applyFill="1" applyBorder="1" applyAlignment="1">
      <alignment horizontal="center" vertical="center" wrapText="1" readingOrder="2"/>
    </xf>
    <xf numFmtId="0" fontId="2" fillId="0" borderId="64" xfId="0" applyFont="1" applyBorder="1" applyAlignment="1">
      <alignment vertical="center"/>
    </xf>
    <xf numFmtId="0" fontId="2" fillId="0" borderId="65" xfId="0" applyFont="1" applyBorder="1" applyAlignment="1">
      <alignment vertical="center"/>
    </xf>
    <xf numFmtId="0" fontId="10" fillId="10" borderId="31" xfId="0" applyFont="1" applyFill="1" applyBorder="1" applyAlignment="1">
      <alignment horizontal="center" vertical="center" wrapText="1" readingOrder="2"/>
    </xf>
    <xf numFmtId="0" fontId="10" fillId="0" borderId="31" xfId="0" applyFont="1" applyBorder="1" applyAlignment="1">
      <alignment horizontal="center" vertical="center" wrapText="1" readingOrder="2"/>
    </xf>
    <xf numFmtId="0" fontId="20" fillId="0" borderId="31" xfId="0" applyFont="1" applyBorder="1" applyAlignment="1">
      <alignment horizontal="center" vertical="center" wrapText="1" readingOrder="2"/>
    </xf>
    <xf numFmtId="0" fontId="12" fillId="0" borderId="31" xfId="0" applyFont="1" applyBorder="1" applyAlignment="1">
      <alignment horizontal="center" vertical="center" wrapText="1" readingOrder="2"/>
    </xf>
    <xf numFmtId="0" fontId="18" fillId="10" borderId="36" xfId="0" applyFont="1" applyFill="1" applyBorder="1" applyAlignment="1">
      <alignment horizontal="center" vertical="center" wrapText="1" readingOrder="2"/>
    </xf>
    <xf numFmtId="0" fontId="12" fillId="0" borderId="61" xfId="0" applyFont="1" applyBorder="1" applyAlignment="1">
      <alignment horizontal="center" vertical="center" wrapText="1" readingOrder="2"/>
    </xf>
    <xf numFmtId="0" fontId="10" fillId="0" borderId="61" xfId="0" applyFont="1" applyBorder="1" applyAlignment="1">
      <alignment horizontal="center" vertical="center" wrapText="1" readingOrder="2"/>
    </xf>
    <xf numFmtId="0" fontId="8" fillId="9" borderId="63" xfId="0" applyFont="1" applyFill="1" applyBorder="1" applyAlignment="1">
      <alignment horizontal="center" vertical="center" wrapText="1" readingOrder="2"/>
    </xf>
    <xf numFmtId="0" fontId="17" fillId="9" borderId="44" xfId="0" applyFont="1" applyFill="1" applyBorder="1" applyAlignment="1">
      <alignment horizontal="center" vertical="center" wrapText="1" readingOrder="2"/>
    </xf>
    <xf numFmtId="0" fontId="2" fillId="0" borderId="45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8" fillId="10" borderId="49" xfId="0" applyFont="1" applyFill="1" applyBorder="1" applyAlignment="1">
      <alignment horizontal="center" vertical="center" wrapText="1" readingOrder="2"/>
    </xf>
    <xf numFmtId="0" fontId="2" fillId="0" borderId="50" xfId="0" applyFont="1" applyBorder="1" applyAlignment="1">
      <alignment vertical="center"/>
    </xf>
    <xf numFmtId="0" fontId="2" fillId="0" borderId="51" xfId="0" applyFont="1" applyBorder="1" applyAlignment="1">
      <alignment vertical="center"/>
    </xf>
    <xf numFmtId="0" fontId="8" fillId="10" borderId="52" xfId="0" applyFont="1" applyFill="1" applyBorder="1" applyAlignment="1">
      <alignment horizontal="center" vertical="center" wrapText="1" readingOrder="2"/>
    </xf>
    <xf numFmtId="0" fontId="2" fillId="0" borderId="53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8" fillId="10" borderId="54" xfId="0" applyFont="1" applyFill="1" applyBorder="1" applyAlignment="1">
      <alignment horizontal="center" vertical="center" wrapText="1" readingOrder="2"/>
    </xf>
    <xf numFmtId="0" fontId="2" fillId="0" borderId="58" xfId="0" applyFont="1" applyBorder="1" applyAlignment="1">
      <alignment vertical="center"/>
    </xf>
    <xf numFmtId="0" fontId="12" fillId="0" borderId="31" xfId="0" applyFont="1" applyBorder="1" applyAlignment="1">
      <alignment horizontal="right" vertical="top" wrapText="1" readingOrder="2"/>
    </xf>
    <xf numFmtId="0" fontId="16" fillId="0" borderId="31" xfId="0" applyFont="1" applyBorder="1" applyAlignment="1">
      <alignment horizontal="right" vertical="top" wrapText="1" readingOrder="2"/>
    </xf>
    <xf numFmtId="0" fontId="2" fillId="0" borderId="76" xfId="0" applyFont="1" applyBorder="1" applyAlignment="1">
      <alignment vertical="center"/>
    </xf>
    <xf numFmtId="0" fontId="8" fillId="0" borderId="14" xfId="0" applyFont="1" applyBorder="1" applyAlignment="1">
      <alignment horizontal="center" vertical="center"/>
    </xf>
    <xf numFmtId="0" fontId="2" fillId="0" borderId="70" xfId="0" applyFont="1" applyBorder="1" applyAlignment="1">
      <alignment vertical="center"/>
    </xf>
    <xf numFmtId="0" fontId="10" fillId="5" borderId="31" xfId="0" applyFont="1" applyFill="1" applyBorder="1" applyAlignment="1">
      <alignment horizontal="center" vertical="center" wrapText="1" readingOrder="2"/>
    </xf>
    <xf numFmtId="0" fontId="8" fillId="12" borderId="72" xfId="0" applyFont="1" applyFill="1" applyBorder="1" applyAlignment="1">
      <alignment horizontal="center" vertical="center" wrapText="1" readingOrder="2"/>
    </xf>
    <xf numFmtId="0" fontId="2" fillId="0" borderId="74" xfId="0" applyFont="1" applyBorder="1" applyAlignment="1">
      <alignment vertical="center"/>
    </xf>
    <xf numFmtId="0" fontId="8" fillId="12" borderId="73" xfId="0" applyFont="1" applyFill="1" applyBorder="1" applyAlignment="1">
      <alignment horizontal="center" vertical="center" wrapText="1" readingOrder="2"/>
    </xf>
    <xf numFmtId="0" fontId="2" fillId="0" borderId="75" xfId="0" applyFont="1" applyBorder="1" applyAlignment="1">
      <alignment vertical="center"/>
    </xf>
    <xf numFmtId="0" fontId="8" fillId="12" borderId="49" xfId="0" applyFont="1" applyFill="1" applyBorder="1" applyAlignment="1">
      <alignment horizontal="center" vertical="center" wrapText="1" readingOrder="2"/>
    </xf>
    <xf numFmtId="0" fontId="8" fillId="12" borderId="54" xfId="0" applyFont="1" applyFill="1" applyBorder="1" applyAlignment="1">
      <alignment horizontal="center" vertical="center" wrapText="1" readingOrder="2"/>
    </xf>
    <xf numFmtId="0" fontId="1" fillId="11" borderId="4" xfId="0" applyFont="1" applyFill="1" applyBorder="1" applyAlignment="1">
      <alignment horizontal="center" vertical="center"/>
    </xf>
    <xf numFmtId="0" fontId="2" fillId="0" borderId="69" xfId="0" applyFont="1" applyBorder="1" applyAlignment="1">
      <alignment vertical="center"/>
    </xf>
    <xf numFmtId="0" fontId="2" fillId="0" borderId="71" xfId="0" applyFont="1" applyBorder="1" applyAlignment="1">
      <alignment vertical="center"/>
    </xf>
    <xf numFmtId="0" fontId="5" fillId="14" borderId="80" xfId="0" applyFont="1" applyFill="1" applyBorder="1" applyAlignment="1">
      <alignment horizontal="center" vertical="center"/>
    </xf>
    <xf numFmtId="0" fontId="2" fillId="0" borderId="81" xfId="0" applyFont="1" applyBorder="1" applyAlignment="1">
      <alignment vertical="center"/>
    </xf>
    <xf numFmtId="0" fontId="2" fillId="0" borderId="82" xfId="0" applyFont="1" applyBorder="1" applyAlignment="1">
      <alignment vertical="center"/>
    </xf>
    <xf numFmtId="0" fontId="2" fillId="0" borderId="83" xfId="0" applyFont="1" applyBorder="1" applyAlignment="1">
      <alignment vertical="center"/>
    </xf>
    <xf numFmtId="0" fontId="2" fillId="0" borderId="84" xfId="0" applyFont="1" applyBorder="1" applyAlignment="1">
      <alignment vertical="center"/>
    </xf>
    <xf numFmtId="0" fontId="2" fillId="0" borderId="85" xfId="0" applyFont="1" applyBorder="1" applyAlignment="1">
      <alignment vertical="center"/>
    </xf>
    <xf numFmtId="0" fontId="2" fillId="0" borderId="86" xfId="0" applyFont="1" applyBorder="1" applyAlignment="1">
      <alignment vertical="center"/>
    </xf>
    <xf numFmtId="0" fontId="18" fillId="2" borderId="40" xfId="0" applyFont="1" applyFill="1" applyBorder="1" applyAlignment="1">
      <alignment horizontal="center" vertical="center" wrapText="1" readingOrder="2"/>
    </xf>
    <xf numFmtId="0" fontId="23" fillId="0" borderId="0" xfId="0" applyFont="1" applyAlignment="1">
      <alignment horizontal="center"/>
    </xf>
    <xf numFmtId="0" fontId="18" fillId="3" borderId="1" xfId="0" applyFont="1" applyFill="1" applyBorder="1" applyAlignment="1">
      <alignment vertical="center" wrapText="1" readingOrder="2"/>
    </xf>
    <xf numFmtId="0" fontId="33" fillId="3" borderId="1" xfId="0" applyFont="1" applyFill="1" applyBorder="1" applyAlignment="1">
      <alignment vertical="center" wrapText="1" readingOrder="2"/>
    </xf>
    <xf numFmtId="0" fontId="34" fillId="3" borderId="1" xfId="0" applyFont="1" applyFill="1" applyBorder="1" applyAlignment="1">
      <alignment vertical="center" wrapText="1" readingOrder="2"/>
    </xf>
    <xf numFmtId="0" fontId="34" fillId="3" borderId="1" xfId="0" applyFont="1" applyFill="1" applyBorder="1" applyAlignment="1">
      <alignment horizontal="center" vertical="center" wrapText="1" readingOrder="2"/>
    </xf>
    <xf numFmtId="0" fontId="33" fillId="10" borderId="55" xfId="0" applyFont="1" applyFill="1" applyBorder="1" applyAlignment="1">
      <alignment horizontal="center" vertical="center" wrapText="1" readingOrder="2"/>
    </xf>
  </cellXfs>
  <cellStyles count="1">
    <cellStyle name="Normal" xfId="0" builtinId="0"/>
  </cellStyles>
  <dxfs count="42"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none"/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548235"/>
  </sheetPr>
  <dimension ref="A1:Z1000"/>
  <sheetViews>
    <sheetView showGridLines="0" rightToLeft="1" tabSelected="1" workbookViewId="0">
      <selection activeCell="E507" sqref="E507"/>
    </sheetView>
  </sheetViews>
  <sheetFormatPr defaultColWidth="14.42578125" defaultRowHeight="15" customHeight="1"/>
  <cols>
    <col min="1" max="1" width="4.85546875" customWidth="1"/>
    <col min="2" max="2" width="57.140625" customWidth="1"/>
    <col min="3" max="3" width="8.85546875" customWidth="1"/>
    <col min="4" max="4" width="16.5703125" customWidth="1"/>
    <col min="5" max="5" width="11.5703125" customWidth="1"/>
    <col min="6" max="6" width="47.140625" customWidth="1"/>
    <col min="7" max="7" width="8.7109375" customWidth="1"/>
    <col min="8" max="8" width="8.42578125" customWidth="1"/>
    <col min="9" max="26" width="8.85546875" customWidth="1"/>
  </cols>
  <sheetData>
    <row r="1" spans="1:26" ht="25.5" customHeight="1">
      <c r="A1" s="100" t="s">
        <v>0</v>
      </c>
      <c r="B1" s="72"/>
      <c r="C1" s="72"/>
      <c r="D1" s="72"/>
      <c r="E1" s="72"/>
      <c r="F1" s="73"/>
      <c r="G1" s="1"/>
      <c r="H1" s="1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25.5" customHeight="1">
      <c r="A2" s="100" t="s">
        <v>1</v>
      </c>
      <c r="B2" s="72"/>
      <c r="C2" s="72"/>
      <c r="D2" s="72"/>
      <c r="E2" s="72"/>
      <c r="F2" s="73"/>
      <c r="G2" s="1"/>
      <c r="H2" s="3"/>
      <c r="I2" s="3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25.5" customHeight="1">
      <c r="A3" s="101" t="s">
        <v>2</v>
      </c>
      <c r="B3" s="72"/>
      <c r="C3" s="72"/>
      <c r="D3" s="72"/>
      <c r="E3" s="72"/>
      <c r="F3" s="73"/>
      <c r="G3" s="1"/>
      <c r="H3" s="4"/>
      <c r="I3" s="4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25.5" customHeight="1">
      <c r="A4" s="108" t="s">
        <v>3</v>
      </c>
      <c r="B4" s="109"/>
      <c r="C4" s="109"/>
      <c r="D4" s="109"/>
      <c r="E4" s="109"/>
      <c r="F4" s="64"/>
      <c r="G4" s="1"/>
      <c r="H4" s="3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5.5" customHeight="1">
      <c r="A5" s="65"/>
      <c r="B5" s="81"/>
      <c r="C5" s="81"/>
      <c r="D5" s="81"/>
      <c r="E5" s="81"/>
      <c r="F5" s="66"/>
      <c r="G5" s="1"/>
      <c r="H5" s="3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5.5" customHeight="1">
      <c r="A6" s="67"/>
      <c r="B6" s="110"/>
      <c r="C6" s="110"/>
      <c r="D6" s="110"/>
      <c r="E6" s="110"/>
      <c r="F6" s="68"/>
      <c r="G6" s="1"/>
      <c r="H6" s="3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4" customHeight="1">
      <c r="A7" s="102" t="s">
        <v>4</v>
      </c>
      <c r="B7" s="111" t="s">
        <v>5</v>
      </c>
      <c r="C7" s="112"/>
      <c r="D7" s="113"/>
      <c r="E7" s="104" t="s">
        <v>6</v>
      </c>
      <c r="F7" s="106" t="s">
        <v>7</v>
      </c>
      <c r="G7" s="1"/>
      <c r="H7" s="3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4.75" customHeight="1">
      <c r="A8" s="103"/>
      <c r="B8" s="114"/>
      <c r="C8" s="115"/>
      <c r="D8" s="116"/>
      <c r="E8" s="105"/>
      <c r="F8" s="107"/>
      <c r="G8" s="1"/>
      <c r="H8" s="3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5.5" customHeight="1">
      <c r="A9" s="117" t="s">
        <v>8</v>
      </c>
      <c r="B9" s="118"/>
      <c r="C9" s="118"/>
      <c r="D9" s="118"/>
      <c r="E9" s="118"/>
      <c r="F9" s="119"/>
      <c r="G9" s="1"/>
      <c r="H9" s="3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5.5" customHeight="1">
      <c r="A10" s="120" t="s">
        <v>9</v>
      </c>
      <c r="B10" s="121"/>
      <c r="C10" s="121"/>
      <c r="D10" s="121"/>
      <c r="E10" s="121"/>
      <c r="F10" s="122"/>
      <c r="G10" s="1"/>
      <c r="H10" s="3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5.5" customHeight="1">
      <c r="A11" s="5">
        <v>1</v>
      </c>
      <c r="B11" s="91" t="s">
        <v>10</v>
      </c>
      <c r="C11" s="83"/>
      <c r="D11" s="84"/>
      <c r="E11" s="6"/>
      <c r="F11" s="7"/>
      <c r="G11" s="1"/>
      <c r="H11" s="3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5.5" customHeight="1">
      <c r="A12" s="5">
        <v>2</v>
      </c>
      <c r="B12" s="91" t="s">
        <v>11</v>
      </c>
      <c r="C12" s="83"/>
      <c r="D12" s="84"/>
      <c r="E12" s="6"/>
      <c r="F12" s="7"/>
      <c r="G12" s="1"/>
      <c r="H12" s="3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25.5" customHeight="1">
      <c r="A13" s="5">
        <v>3</v>
      </c>
      <c r="B13" s="91" t="s">
        <v>12</v>
      </c>
      <c r="C13" s="83"/>
      <c r="D13" s="84"/>
      <c r="E13" s="6"/>
      <c r="F13" s="7"/>
      <c r="G13" s="1"/>
      <c r="H13" s="3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5.5" customHeight="1">
      <c r="A14" s="5">
        <v>4</v>
      </c>
      <c r="B14" s="91" t="s">
        <v>13</v>
      </c>
      <c r="C14" s="83"/>
      <c r="D14" s="84"/>
      <c r="E14" s="6"/>
      <c r="F14" s="7"/>
      <c r="G14" s="1"/>
      <c r="H14" s="3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25.5" customHeight="1">
      <c r="A15" s="5">
        <v>5</v>
      </c>
      <c r="B15" s="91" t="s">
        <v>14</v>
      </c>
      <c r="C15" s="83"/>
      <c r="D15" s="84"/>
      <c r="E15" s="6"/>
      <c r="F15" s="7"/>
      <c r="G15" s="1"/>
      <c r="H15" s="3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25.5" customHeight="1">
      <c r="A16" s="93" t="s">
        <v>15</v>
      </c>
      <c r="B16" s="83"/>
      <c r="C16" s="83"/>
      <c r="D16" s="83"/>
      <c r="E16" s="83"/>
      <c r="F16" s="86"/>
      <c r="G16" s="1"/>
      <c r="H16" s="3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25.5" customHeight="1">
      <c r="A17" s="5">
        <v>6</v>
      </c>
      <c r="B17" s="91" t="s">
        <v>16</v>
      </c>
      <c r="C17" s="83"/>
      <c r="D17" s="84"/>
      <c r="E17" s="6"/>
      <c r="F17" s="7"/>
      <c r="G17" s="1"/>
      <c r="H17" s="3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5.5" customHeight="1">
      <c r="A18" s="5">
        <v>7</v>
      </c>
      <c r="B18" s="91" t="s">
        <v>17</v>
      </c>
      <c r="C18" s="83"/>
      <c r="D18" s="84"/>
      <c r="E18" s="6"/>
      <c r="F18" s="7"/>
      <c r="G18" s="1"/>
      <c r="H18" s="3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25.5" customHeight="1">
      <c r="A19" s="5">
        <v>8</v>
      </c>
      <c r="B19" s="91" t="s">
        <v>18</v>
      </c>
      <c r="C19" s="83"/>
      <c r="D19" s="84"/>
      <c r="E19" s="6"/>
      <c r="F19" s="7"/>
      <c r="G19" s="1"/>
      <c r="H19" s="3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5.5" customHeight="1">
      <c r="A20" s="5">
        <v>9</v>
      </c>
      <c r="B20" s="91" t="s">
        <v>19</v>
      </c>
      <c r="C20" s="83"/>
      <c r="D20" s="84"/>
      <c r="E20" s="6"/>
      <c r="F20" s="7"/>
      <c r="G20" s="1"/>
      <c r="H20" s="3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78" customHeight="1">
      <c r="A21" s="5">
        <v>10</v>
      </c>
      <c r="B21" s="91" t="s">
        <v>20</v>
      </c>
      <c r="C21" s="83"/>
      <c r="D21" s="84"/>
      <c r="E21" s="6"/>
      <c r="F21" s="7"/>
      <c r="G21" s="1"/>
      <c r="H21" s="3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5.5" customHeight="1">
      <c r="A22" s="5">
        <v>11</v>
      </c>
      <c r="B22" s="91" t="s">
        <v>21</v>
      </c>
      <c r="C22" s="83"/>
      <c r="D22" s="84"/>
      <c r="E22" s="6"/>
      <c r="F22" s="7"/>
      <c r="G22" s="1"/>
      <c r="H22" s="3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25.5" customHeight="1">
      <c r="A23" s="5">
        <v>12</v>
      </c>
      <c r="B23" s="91" t="s">
        <v>22</v>
      </c>
      <c r="C23" s="83"/>
      <c r="D23" s="84"/>
      <c r="E23" s="6"/>
      <c r="F23" s="7"/>
      <c r="G23" s="1"/>
      <c r="H23" s="3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90" customHeight="1">
      <c r="A24" s="5">
        <v>13</v>
      </c>
      <c r="B24" s="91" t="s">
        <v>23</v>
      </c>
      <c r="C24" s="83"/>
      <c r="D24" s="84"/>
      <c r="E24" s="6"/>
      <c r="F24" s="7"/>
      <c r="G24" s="1"/>
      <c r="H24" s="3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25.5" customHeight="1">
      <c r="A25" s="93" t="s">
        <v>24</v>
      </c>
      <c r="B25" s="83"/>
      <c r="C25" s="83"/>
      <c r="D25" s="83"/>
      <c r="E25" s="83"/>
      <c r="F25" s="86"/>
      <c r="G25" s="1"/>
      <c r="H25" s="3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25.5" customHeight="1">
      <c r="A26" s="5">
        <v>14</v>
      </c>
      <c r="B26" s="91" t="s">
        <v>25</v>
      </c>
      <c r="C26" s="83"/>
      <c r="D26" s="84"/>
      <c r="E26" s="6"/>
      <c r="F26" s="7"/>
      <c r="G26" s="1"/>
      <c r="H26" s="3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25.5" customHeight="1">
      <c r="A27" s="5">
        <v>15</v>
      </c>
      <c r="B27" s="91" t="s">
        <v>26</v>
      </c>
      <c r="C27" s="83"/>
      <c r="D27" s="84"/>
      <c r="E27" s="6"/>
      <c r="F27" s="7"/>
      <c r="G27" s="1"/>
      <c r="H27" s="3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25.5" customHeight="1">
      <c r="A28" s="5">
        <v>16</v>
      </c>
      <c r="B28" s="91" t="s">
        <v>27</v>
      </c>
      <c r="C28" s="83"/>
      <c r="D28" s="84"/>
      <c r="E28" s="6"/>
      <c r="F28" s="7"/>
      <c r="G28" s="1"/>
      <c r="H28" s="3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25.5" customHeight="1">
      <c r="A29" s="5">
        <v>17</v>
      </c>
      <c r="B29" s="91" t="s">
        <v>28</v>
      </c>
      <c r="C29" s="83"/>
      <c r="D29" s="84"/>
      <c r="E29" s="6"/>
      <c r="F29" s="7"/>
      <c r="G29" s="1"/>
      <c r="H29" s="3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25.5" customHeight="1">
      <c r="A30" s="93" t="s">
        <v>30</v>
      </c>
      <c r="B30" s="83"/>
      <c r="C30" s="83"/>
      <c r="D30" s="83"/>
      <c r="E30" s="83"/>
      <c r="F30" s="86"/>
      <c r="G30" s="1"/>
      <c r="H30" s="3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25.5" customHeight="1">
      <c r="A31" s="5">
        <v>18</v>
      </c>
      <c r="B31" s="91" t="s">
        <v>31</v>
      </c>
      <c r="C31" s="83"/>
      <c r="D31" s="84"/>
      <c r="E31" s="6"/>
      <c r="F31" s="7"/>
      <c r="G31" s="1"/>
      <c r="H31" s="3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25.5" customHeight="1">
      <c r="A32" s="5">
        <v>19</v>
      </c>
      <c r="B32" s="91" t="s">
        <v>32</v>
      </c>
      <c r="C32" s="83"/>
      <c r="D32" s="84"/>
      <c r="E32" s="6"/>
      <c r="F32" s="7"/>
      <c r="G32" s="1"/>
      <c r="H32" s="3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25.5" customHeight="1">
      <c r="A33" s="5">
        <v>20</v>
      </c>
      <c r="B33" s="91" t="s">
        <v>33</v>
      </c>
      <c r="C33" s="83"/>
      <c r="D33" s="84"/>
      <c r="E33" s="6"/>
      <c r="F33" s="7"/>
      <c r="G33" s="1"/>
      <c r="H33" s="3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25.5" customHeight="1">
      <c r="A34" s="5">
        <v>21</v>
      </c>
      <c r="B34" s="91" t="s">
        <v>34</v>
      </c>
      <c r="C34" s="83"/>
      <c r="D34" s="84"/>
      <c r="E34" s="6"/>
      <c r="F34" s="7"/>
      <c r="G34" s="1"/>
      <c r="H34" s="3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25.5" customHeight="1">
      <c r="A35" s="5">
        <v>22</v>
      </c>
      <c r="B35" s="91" t="s">
        <v>35</v>
      </c>
      <c r="C35" s="83"/>
      <c r="D35" s="84"/>
      <c r="E35" s="6"/>
      <c r="F35" s="7"/>
      <c r="G35" s="1"/>
      <c r="H35" s="3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75" customHeight="1">
      <c r="A36" s="5">
        <v>23</v>
      </c>
      <c r="B36" s="91" t="s">
        <v>36</v>
      </c>
      <c r="C36" s="83"/>
      <c r="D36" s="84"/>
      <c r="E36" s="6"/>
      <c r="F36" s="7"/>
      <c r="G36" s="1"/>
      <c r="H36" s="3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25.5" customHeight="1">
      <c r="A37" s="5">
        <v>24</v>
      </c>
      <c r="B37" s="91" t="s">
        <v>37</v>
      </c>
      <c r="C37" s="83"/>
      <c r="D37" s="84"/>
      <c r="E37" s="6"/>
      <c r="F37" s="7"/>
      <c r="G37" s="1"/>
      <c r="H37" s="3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88.5" customHeight="1">
      <c r="A38" s="5">
        <v>25</v>
      </c>
      <c r="B38" s="91" t="s">
        <v>38</v>
      </c>
      <c r="C38" s="83"/>
      <c r="D38" s="84"/>
      <c r="E38" s="6"/>
      <c r="F38" s="7"/>
      <c r="G38" s="1"/>
      <c r="H38" s="3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04.25" customHeight="1">
      <c r="A39" s="5">
        <v>26</v>
      </c>
      <c r="B39" s="91" t="s">
        <v>39</v>
      </c>
      <c r="C39" s="83"/>
      <c r="D39" s="84"/>
      <c r="E39" s="6"/>
      <c r="F39" s="7"/>
      <c r="G39" s="1"/>
      <c r="H39" s="3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25.5" customHeight="1">
      <c r="A40" s="93" t="s">
        <v>40</v>
      </c>
      <c r="B40" s="83"/>
      <c r="C40" s="83"/>
      <c r="D40" s="83"/>
      <c r="E40" s="83"/>
      <c r="F40" s="86"/>
      <c r="G40" s="1"/>
      <c r="H40" s="3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25.5" customHeight="1">
      <c r="A41" s="5">
        <v>27</v>
      </c>
      <c r="B41" s="91" t="s">
        <v>41</v>
      </c>
      <c r="C41" s="83"/>
      <c r="D41" s="84"/>
      <c r="E41" s="6"/>
      <c r="F41" s="7"/>
      <c r="G41" s="1"/>
      <c r="H41" s="3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25.5" customHeight="1">
      <c r="A42" s="5">
        <v>28</v>
      </c>
      <c r="B42" s="91" t="s">
        <v>42</v>
      </c>
      <c r="C42" s="83"/>
      <c r="D42" s="84"/>
      <c r="E42" s="6"/>
      <c r="F42" s="7"/>
      <c r="G42" s="1"/>
      <c r="H42" s="3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25.5" customHeight="1">
      <c r="A43" s="5" t="s">
        <v>43</v>
      </c>
      <c r="B43" s="91" t="s">
        <v>44</v>
      </c>
      <c r="C43" s="83"/>
      <c r="D43" s="84"/>
      <c r="E43" s="6"/>
      <c r="F43" s="7"/>
      <c r="G43" s="1"/>
      <c r="H43" s="3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25.5" customHeight="1">
      <c r="A44" s="5">
        <v>30</v>
      </c>
      <c r="B44" s="91" t="s">
        <v>45</v>
      </c>
      <c r="C44" s="83"/>
      <c r="D44" s="84"/>
      <c r="E44" s="6"/>
      <c r="F44" s="7"/>
      <c r="G44" s="1"/>
      <c r="H44" s="3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25.5" customHeight="1">
      <c r="A45" s="93" t="s">
        <v>46</v>
      </c>
      <c r="B45" s="83"/>
      <c r="C45" s="83"/>
      <c r="D45" s="83"/>
      <c r="E45" s="83"/>
      <c r="F45" s="86"/>
      <c r="G45" s="1"/>
      <c r="H45" s="3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25.5" customHeight="1">
      <c r="A46" s="5">
        <v>31</v>
      </c>
      <c r="B46" s="91" t="s">
        <v>47</v>
      </c>
      <c r="C46" s="83"/>
      <c r="D46" s="84"/>
      <c r="E46" s="6"/>
      <c r="F46" s="7"/>
      <c r="G46" s="1"/>
      <c r="H46" s="3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25.5" customHeight="1">
      <c r="A47" s="5">
        <v>32</v>
      </c>
      <c r="B47" s="91" t="s">
        <v>48</v>
      </c>
      <c r="C47" s="83"/>
      <c r="D47" s="84"/>
      <c r="E47" s="6"/>
      <c r="F47" s="7"/>
      <c r="G47" s="1"/>
      <c r="H47" s="3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25.5" customHeight="1">
      <c r="A48" s="5">
        <v>33</v>
      </c>
      <c r="B48" s="91" t="s">
        <v>49</v>
      </c>
      <c r="C48" s="83"/>
      <c r="D48" s="84"/>
      <c r="E48" s="6"/>
      <c r="F48" s="7"/>
      <c r="G48" s="1"/>
      <c r="H48" s="3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25.5" customHeight="1">
      <c r="A49" s="5">
        <v>34</v>
      </c>
      <c r="B49" s="91" t="s">
        <v>50</v>
      </c>
      <c r="C49" s="83"/>
      <c r="D49" s="84"/>
      <c r="E49" s="6"/>
      <c r="F49" s="7"/>
      <c r="G49" s="1"/>
      <c r="H49" s="3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25.5" customHeight="1">
      <c r="A50" s="92" t="s">
        <v>51</v>
      </c>
      <c r="B50" s="83"/>
      <c r="C50" s="83"/>
      <c r="D50" s="83"/>
      <c r="E50" s="87"/>
      <c r="F50" s="8" t="str">
        <f>IF(COUNT(E11:E49)=0,"N/A",SUM((E11:E49))/(COUNT((E11:E49))*2))</f>
        <v>N/A</v>
      </c>
      <c r="G50" s="1"/>
      <c r="H50" s="3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25.5" customHeight="1">
      <c r="A51" s="95" t="s">
        <v>52</v>
      </c>
      <c r="B51" s="83"/>
      <c r="C51" s="83"/>
      <c r="D51" s="83"/>
      <c r="E51" s="83"/>
      <c r="F51" s="86"/>
      <c r="G51" s="1"/>
      <c r="H51" s="3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25.5" customHeight="1">
      <c r="A52" s="5">
        <v>1</v>
      </c>
      <c r="B52" s="91" t="s">
        <v>53</v>
      </c>
      <c r="C52" s="83"/>
      <c r="D52" s="84"/>
      <c r="E52" s="6"/>
      <c r="F52" s="7"/>
      <c r="G52" s="1"/>
      <c r="H52" s="3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25.5" customHeight="1">
      <c r="A53" s="5">
        <v>2</v>
      </c>
      <c r="B53" s="91" t="s">
        <v>54</v>
      </c>
      <c r="C53" s="83"/>
      <c r="D53" s="84"/>
      <c r="E53" s="6"/>
      <c r="F53" s="7"/>
      <c r="G53" s="1"/>
      <c r="H53" s="3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25.5" customHeight="1">
      <c r="A54" s="5">
        <v>3</v>
      </c>
      <c r="B54" s="91" t="s">
        <v>55</v>
      </c>
      <c r="C54" s="83"/>
      <c r="D54" s="84"/>
      <c r="E54" s="6"/>
      <c r="F54" s="7"/>
      <c r="G54" s="1"/>
      <c r="H54" s="3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25.5" customHeight="1">
      <c r="A55" s="5">
        <v>4</v>
      </c>
      <c r="B55" s="91" t="s">
        <v>56</v>
      </c>
      <c r="C55" s="83"/>
      <c r="D55" s="84"/>
      <c r="E55" s="6"/>
      <c r="F55" s="7"/>
      <c r="G55" s="1"/>
      <c r="H55" s="3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25.5" customHeight="1">
      <c r="A56" s="5">
        <v>5</v>
      </c>
      <c r="B56" s="91" t="s">
        <v>57</v>
      </c>
      <c r="C56" s="83"/>
      <c r="D56" s="84"/>
      <c r="E56" s="6"/>
      <c r="F56" s="7"/>
      <c r="G56" s="1"/>
      <c r="H56" s="3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25.5" customHeight="1">
      <c r="A57" s="5">
        <v>6</v>
      </c>
      <c r="B57" s="91" t="s">
        <v>58</v>
      </c>
      <c r="C57" s="83"/>
      <c r="D57" s="84"/>
      <c r="E57" s="6"/>
      <c r="F57" s="7"/>
      <c r="G57" s="1"/>
      <c r="H57" s="3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25.5" customHeight="1">
      <c r="A58" s="5">
        <v>7</v>
      </c>
      <c r="B58" s="91" t="s">
        <v>59</v>
      </c>
      <c r="C58" s="83"/>
      <c r="D58" s="84"/>
      <c r="E58" s="6"/>
      <c r="F58" s="7"/>
      <c r="G58" s="1"/>
      <c r="H58" s="3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25.5" customHeight="1">
      <c r="A59" s="5">
        <v>8</v>
      </c>
      <c r="B59" s="91" t="s">
        <v>60</v>
      </c>
      <c r="C59" s="83"/>
      <c r="D59" s="84"/>
      <c r="E59" s="6"/>
      <c r="F59" s="7"/>
      <c r="G59" s="1"/>
      <c r="H59" s="3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25.5" customHeight="1">
      <c r="A60" s="5">
        <v>9</v>
      </c>
      <c r="B60" s="91" t="s">
        <v>61</v>
      </c>
      <c r="C60" s="83"/>
      <c r="D60" s="84"/>
      <c r="E60" s="6"/>
      <c r="F60" s="7"/>
      <c r="G60" s="1"/>
      <c r="H60" s="3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25.5" customHeight="1">
      <c r="A61" s="5">
        <v>10</v>
      </c>
      <c r="B61" s="91" t="s">
        <v>62</v>
      </c>
      <c r="C61" s="83"/>
      <c r="D61" s="84"/>
      <c r="E61" s="6"/>
      <c r="F61" s="7"/>
      <c r="G61" s="1"/>
      <c r="H61" s="3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25.5" customHeight="1">
      <c r="A62" s="5">
        <v>11</v>
      </c>
      <c r="B62" s="91" t="s">
        <v>63</v>
      </c>
      <c r="C62" s="83"/>
      <c r="D62" s="84"/>
      <c r="E62" s="6"/>
      <c r="F62" s="7"/>
      <c r="G62" s="1"/>
      <c r="H62" s="3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9.5" customHeight="1">
      <c r="A63" s="5">
        <v>12</v>
      </c>
      <c r="B63" s="91" t="s">
        <v>64</v>
      </c>
      <c r="C63" s="83"/>
      <c r="D63" s="84"/>
      <c r="E63" s="6"/>
      <c r="F63" s="7"/>
      <c r="G63" s="1"/>
      <c r="H63" s="3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25.5" customHeight="1">
      <c r="A64" s="5">
        <v>13</v>
      </c>
      <c r="B64" s="91" t="s">
        <v>65</v>
      </c>
      <c r="C64" s="83"/>
      <c r="D64" s="84"/>
      <c r="E64" s="6"/>
      <c r="F64" s="7"/>
      <c r="G64" s="1"/>
      <c r="H64" s="3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25.5" customHeight="1">
      <c r="A65" s="5">
        <v>14</v>
      </c>
      <c r="B65" s="91" t="s">
        <v>66</v>
      </c>
      <c r="C65" s="83"/>
      <c r="D65" s="84"/>
      <c r="E65" s="6"/>
      <c r="F65" s="7"/>
      <c r="G65" s="1"/>
      <c r="H65" s="3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25.5" customHeight="1">
      <c r="A66" s="5">
        <v>15</v>
      </c>
      <c r="B66" s="91" t="s">
        <v>67</v>
      </c>
      <c r="C66" s="83"/>
      <c r="D66" s="84"/>
      <c r="E66" s="6"/>
      <c r="F66" s="7"/>
      <c r="G66" s="1"/>
      <c r="H66" s="3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25.5" customHeight="1">
      <c r="A67" s="92" t="s">
        <v>51</v>
      </c>
      <c r="B67" s="83"/>
      <c r="C67" s="83"/>
      <c r="D67" s="83"/>
      <c r="E67" s="87"/>
      <c r="F67" s="8" t="str">
        <f>IF(COUNT(E51:E66)=0,"N/A",SUM((E51:E66))/(COUNT((E51:E66))*2))</f>
        <v>N/A</v>
      </c>
      <c r="G67" s="1"/>
      <c r="H67" s="3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25.5" customHeight="1">
      <c r="A68" s="95" t="s">
        <v>68</v>
      </c>
      <c r="B68" s="83"/>
      <c r="C68" s="83"/>
      <c r="D68" s="83"/>
      <c r="E68" s="83"/>
      <c r="F68" s="86"/>
      <c r="G68" s="1"/>
      <c r="H68" s="3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25.5" customHeight="1">
      <c r="A69" s="5">
        <v>1</v>
      </c>
      <c r="B69" s="91" t="s">
        <v>69</v>
      </c>
      <c r="C69" s="83"/>
      <c r="D69" s="84"/>
      <c r="E69" s="6"/>
      <c r="F69" s="7"/>
      <c r="G69" s="1"/>
      <c r="H69" s="3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25.5" customHeight="1">
      <c r="A70" s="5">
        <v>2</v>
      </c>
      <c r="B70" s="91" t="s">
        <v>70</v>
      </c>
      <c r="C70" s="83"/>
      <c r="D70" s="84"/>
      <c r="E70" s="6"/>
      <c r="F70" s="7"/>
      <c r="G70" s="1"/>
      <c r="H70" s="3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25.5" customHeight="1">
      <c r="A71" s="5">
        <v>3</v>
      </c>
      <c r="B71" s="91" t="s">
        <v>71</v>
      </c>
      <c r="C71" s="83"/>
      <c r="D71" s="84"/>
      <c r="E71" s="6"/>
      <c r="F71" s="7"/>
      <c r="G71" s="1"/>
      <c r="H71" s="3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25.5" customHeight="1">
      <c r="A72" s="5">
        <v>4</v>
      </c>
      <c r="B72" s="91" t="s">
        <v>72</v>
      </c>
      <c r="C72" s="83"/>
      <c r="D72" s="84"/>
      <c r="E72" s="6"/>
      <c r="F72" s="7"/>
      <c r="G72" s="1"/>
      <c r="H72" s="3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25.5" customHeight="1">
      <c r="A73" s="5">
        <v>5</v>
      </c>
      <c r="B73" s="91" t="s">
        <v>73</v>
      </c>
      <c r="C73" s="83"/>
      <c r="D73" s="84"/>
      <c r="E73" s="6"/>
      <c r="F73" s="7"/>
      <c r="G73" s="1"/>
      <c r="H73" s="3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25.5" customHeight="1">
      <c r="A74" s="5">
        <v>6</v>
      </c>
      <c r="B74" s="91" t="s">
        <v>74</v>
      </c>
      <c r="C74" s="83"/>
      <c r="D74" s="84"/>
      <c r="E74" s="6"/>
      <c r="F74" s="7"/>
      <c r="G74" s="1"/>
      <c r="H74" s="3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25.5" customHeight="1">
      <c r="A75" s="5">
        <v>7</v>
      </c>
      <c r="B75" s="91" t="s">
        <v>75</v>
      </c>
      <c r="C75" s="83"/>
      <c r="D75" s="84"/>
      <c r="E75" s="6"/>
      <c r="F75" s="7"/>
      <c r="G75" s="1"/>
      <c r="H75" s="3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25.5" customHeight="1">
      <c r="A76" s="5">
        <v>8</v>
      </c>
      <c r="B76" s="91" t="s">
        <v>76</v>
      </c>
      <c r="C76" s="83"/>
      <c r="D76" s="84"/>
      <c r="E76" s="6"/>
      <c r="F76" s="7"/>
      <c r="G76" s="1"/>
      <c r="H76" s="3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25.5" customHeight="1">
      <c r="A77" s="5">
        <v>9</v>
      </c>
      <c r="B77" s="91" t="s">
        <v>77</v>
      </c>
      <c r="C77" s="83"/>
      <c r="D77" s="84"/>
      <c r="E77" s="6"/>
      <c r="F77" s="7"/>
      <c r="G77" s="1"/>
      <c r="H77" s="3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25.5" customHeight="1">
      <c r="A78" s="5">
        <v>10</v>
      </c>
      <c r="B78" s="91" t="s">
        <v>78</v>
      </c>
      <c r="C78" s="83"/>
      <c r="D78" s="84"/>
      <c r="E78" s="6"/>
      <c r="F78" s="7"/>
      <c r="G78" s="1"/>
      <c r="H78" s="3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43.5" customHeight="1">
      <c r="A79" s="5">
        <v>11</v>
      </c>
      <c r="B79" s="91" t="s">
        <v>79</v>
      </c>
      <c r="C79" s="83"/>
      <c r="D79" s="84"/>
      <c r="E79" s="6"/>
      <c r="F79" s="7"/>
      <c r="G79" s="1"/>
      <c r="H79" s="3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25.5" customHeight="1">
      <c r="A80" s="5">
        <v>12</v>
      </c>
      <c r="B80" s="91" t="s">
        <v>80</v>
      </c>
      <c r="C80" s="83"/>
      <c r="D80" s="84"/>
      <c r="E80" s="6"/>
      <c r="F80" s="7"/>
      <c r="G80" s="1"/>
      <c r="H80" s="3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25.5" customHeight="1">
      <c r="A81" s="5">
        <v>13</v>
      </c>
      <c r="B81" s="91" t="s">
        <v>81</v>
      </c>
      <c r="C81" s="83"/>
      <c r="D81" s="84"/>
      <c r="E81" s="6"/>
      <c r="F81" s="7"/>
      <c r="G81" s="1"/>
      <c r="H81" s="3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25.5" customHeight="1">
      <c r="A82" s="5">
        <v>14</v>
      </c>
      <c r="B82" s="91" t="s">
        <v>82</v>
      </c>
      <c r="C82" s="83"/>
      <c r="D82" s="84"/>
      <c r="E82" s="6"/>
      <c r="F82" s="7"/>
      <c r="G82" s="1"/>
      <c r="H82" s="3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25.5" customHeight="1">
      <c r="A83" s="5">
        <v>15</v>
      </c>
      <c r="B83" s="91" t="s">
        <v>83</v>
      </c>
      <c r="C83" s="83"/>
      <c r="D83" s="84"/>
      <c r="E83" s="6"/>
      <c r="F83" s="7"/>
      <c r="G83" s="1"/>
      <c r="H83" s="3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75" customHeight="1">
      <c r="A84" s="5">
        <v>16</v>
      </c>
      <c r="B84" s="91" t="s">
        <v>84</v>
      </c>
      <c r="C84" s="83"/>
      <c r="D84" s="84"/>
      <c r="E84" s="6"/>
      <c r="F84" s="7"/>
      <c r="G84" s="1"/>
      <c r="H84" s="3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25.5" customHeight="1">
      <c r="A85" s="5">
        <v>17</v>
      </c>
      <c r="B85" s="91" t="s">
        <v>85</v>
      </c>
      <c r="C85" s="83"/>
      <c r="D85" s="84"/>
      <c r="E85" s="6"/>
      <c r="F85" s="7"/>
      <c r="G85" s="1"/>
      <c r="H85" s="3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39.75" customHeight="1">
      <c r="A86" s="5">
        <v>18</v>
      </c>
      <c r="B86" s="91" t="s">
        <v>86</v>
      </c>
      <c r="C86" s="83"/>
      <c r="D86" s="84"/>
      <c r="E86" s="6"/>
      <c r="F86" s="7"/>
      <c r="G86" s="1"/>
      <c r="H86" s="3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25.5" customHeight="1">
      <c r="A87" s="99" t="s">
        <v>87</v>
      </c>
      <c r="B87" s="83"/>
      <c r="C87" s="83"/>
      <c r="D87" s="83"/>
      <c r="E87" s="83"/>
      <c r="F87" s="86"/>
      <c r="G87" s="1"/>
      <c r="H87" s="3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25.5" customHeight="1">
      <c r="A88" s="5">
        <v>19</v>
      </c>
      <c r="B88" s="91" t="s">
        <v>88</v>
      </c>
      <c r="C88" s="83"/>
      <c r="D88" s="84"/>
      <c r="E88" s="6"/>
      <c r="F88" s="7"/>
      <c r="G88" s="1"/>
      <c r="H88" s="3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25.5" customHeight="1">
      <c r="A89" s="5">
        <v>20</v>
      </c>
      <c r="B89" s="91" t="s">
        <v>89</v>
      </c>
      <c r="C89" s="83"/>
      <c r="D89" s="84"/>
      <c r="E89" s="6"/>
      <c r="F89" s="7"/>
      <c r="G89" s="1"/>
      <c r="H89" s="3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25.5" customHeight="1">
      <c r="A90" s="92" t="s">
        <v>51</v>
      </c>
      <c r="B90" s="83"/>
      <c r="C90" s="83"/>
      <c r="D90" s="83"/>
      <c r="E90" s="87"/>
      <c r="F90" s="9" t="str">
        <f>IF(COUNT(E69:E89)=0,"N/A",SUM((E69:E89))/(COUNT((E69:E89))*2))</f>
        <v>N/A</v>
      </c>
      <c r="G90" s="1"/>
      <c r="H90" s="3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25.5" customHeight="1">
      <c r="A91" s="95" t="s">
        <v>90</v>
      </c>
      <c r="B91" s="83"/>
      <c r="C91" s="83"/>
      <c r="D91" s="83"/>
      <c r="E91" s="83"/>
      <c r="F91" s="86"/>
      <c r="G91" s="1"/>
      <c r="H91" s="3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81" customHeight="1">
      <c r="A92" s="5">
        <v>1</v>
      </c>
      <c r="B92" s="91" t="s">
        <v>91</v>
      </c>
      <c r="C92" s="83"/>
      <c r="D92" s="84"/>
      <c r="E92" s="6"/>
      <c r="F92" s="7"/>
      <c r="G92" s="1"/>
      <c r="H92" s="3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25.5" customHeight="1">
      <c r="A93" s="5">
        <v>2</v>
      </c>
      <c r="B93" s="91" t="s">
        <v>92</v>
      </c>
      <c r="C93" s="83"/>
      <c r="D93" s="84"/>
      <c r="E93" s="6"/>
      <c r="F93" s="7"/>
      <c r="G93" s="1"/>
      <c r="H93" s="3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57" customHeight="1">
      <c r="A94" s="5">
        <v>3</v>
      </c>
      <c r="B94" s="91" t="s">
        <v>93</v>
      </c>
      <c r="C94" s="83"/>
      <c r="D94" s="84"/>
      <c r="E94" s="6"/>
      <c r="F94" s="7"/>
      <c r="G94" s="1"/>
      <c r="H94" s="3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25.5" customHeight="1">
      <c r="A95" s="92" t="s">
        <v>94</v>
      </c>
      <c r="B95" s="83"/>
      <c r="C95" s="83"/>
      <c r="D95" s="83"/>
      <c r="E95" s="87"/>
      <c r="F95" s="9" t="str">
        <f>IF(COUNT(E92:E94)=0,"N/A",SUM((E92:E94))/(COUNT((E92:E94))*2))</f>
        <v>N/A</v>
      </c>
      <c r="G95" s="1"/>
      <c r="H95" s="3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25.5" customHeight="1">
      <c r="A96" s="95" t="s">
        <v>95</v>
      </c>
      <c r="B96" s="83"/>
      <c r="C96" s="83"/>
      <c r="D96" s="83"/>
      <c r="E96" s="83"/>
      <c r="F96" s="86"/>
      <c r="G96" s="1"/>
      <c r="H96" s="3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72.75" customHeight="1">
      <c r="A97" s="5">
        <v>1</v>
      </c>
      <c r="B97" s="91" t="s">
        <v>96</v>
      </c>
      <c r="C97" s="83"/>
      <c r="D97" s="84"/>
      <c r="E97" s="6"/>
      <c r="F97" s="7"/>
      <c r="G97" s="1"/>
      <c r="H97" s="3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60" customHeight="1">
      <c r="A98" s="5">
        <v>2</v>
      </c>
      <c r="B98" s="91" t="s">
        <v>97</v>
      </c>
      <c r="C98" s="83"/>
      <c r="D98" s="84"/>
      <c r="E98" s="6"/>
      <c r="F98" s="7"/>
      <c r="G98" s="1"/>
      <c r="H98" s="3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25.5" customHeight="1">
      <c r="A99" s="5">
        <v>3</v>
      </c>
      <c r="B99" s="98" t="s">
        <v>98</v>
      </c>
      <c r="C99" s="83"/>
      <c r="D99" s="84"/>
      <c r="E99" s="6"/>
      <c r="F99" s="7"/>
      <c r="G99" s="1"/>
      <c r="H99" s="3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25.5" customHeight="1">
      <c r="A100" s="93" t="s">
        <v>99</v>
      </c>
      <c r="B100" s="83"/>
      <c r="C100" s="83"/>
      <c r="D100" s="83"/>
      <c r="E100" s="83"/>
      <c r="F100" s="86"/>
      <c r="G100" s="1"/>
      <c r="H100" s="3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25.5" customHeight="1">
      <c r="A101" s="5">
        <v>4</v>
      </c>
      <c r="B101" s="91" t="s">
        <v>100</v>
      </c>
      <c r="C101" s="83"/>
      <c r="D101" s="84"/>
      <c r="E101" s="6"/>
      <c r="F101" s="7"/>
      <c r="G101" s="1"/>
      <c r="H101" s="3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25.5" customHeight="1">
      <c r="A102" s="5">
        <v>5</v>
      </c>
      <c r="B102" s="91" t="s">
        <v>101</v>
      </c>
      <c r="C102" s="83"/>
      <c r="D102" s="84"/>
      <c r="E102" s="6"/>
      <c r="F102" s="7"/>
      <c r="G102" s="1"/>
      <c r="H102" s="3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25.5" customHeight="1">
      <c r="A103" s="92" t="s">
        <v>51</v>
      </c>
      <c r="B103" s="83"/>
      <c r="C103" s="83"/>
      <c r="D103" s="83"/>
      <c r="E103" s="87"/>
      <c r="F103" s="9" t="str">
        <f>IF(COUNT(E97:E102)=0,"N/A",SUM((E97:E102))/(COUNT((E97:E102))*2))</f>
        <v>N/A</v>
      </c>
      <c r="G103" s="1"/>
      <c r="H103" s="3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25.5" customHeight="1">
      <c r="A104" s="95" t="s">
        <v>102</v>
      </c>
      <c r="B104" s="83"/>
      <c r="C104" s="83"/>
      <c r="D104" s="83"/>
      <c r="E104" s="83"/>
      <c r="F104" s="86"/>
      <c r="G104" s="1"/>
      <c r="H104" s="3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25.5" customHeight="1">
      <c r="A105" s="5">
        <v>1</v>
      </c>
      <c r="B105" s="91" t="s">
        <v>103</v>
      </c>
      <c r="C105" s="83"/>
      <c r="D105" s="84"/>
      <c r="E105" s="6"/>
      <c r="F105" s="7"/>
      <c r="G105" s="1"/>
      <c r="H105" s="3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25.5" customHeight="1">
      <c r="A106" s="5">
        <v>2</v>
      </c>
      <c r="B106" s="91" t="s">
        <v>104</v>
      </c>
      <c r="C106" s="83"/>
      <c r="D106" s="84"/>
      <c r="E106" s="6"/>
      <c r="F106" s="7"/>
      <c r="G106" s="1"/>
      <c r="H106" s="3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25.5" customHeight="1">
      <c r="A107" s="5">
        <v>3</v>
      </c>
      <c r="B107" s="91" t="s">
        <v>105</v>
      </c>
      <c r="C107" s="83"/>
      <c r="D107" s="84"/>
      <c r="E107" s="6"/>
      <c r="F107" s="7"/>
      <c r="G107" s="1"/>
      <c r="H107" s="3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25.5" customHeight="1">
      <c r="A108" s="5">
        <v>4</v>
      </c>
      <c r="B108" s="91" t="s">
        <v>106</v>
      </c>
      <c r="C108" s="83"/>
      <c r="D108" s="84"/>
      <c r="E108" s="6"/>
      <c r="F108" s="7"/>
      <c r="G108" s="1"/>
      <c r="H108" s="3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25.5" customHeight="1">
      <c r="A109" s="92" t="s">
        <v>51</v>
      </c>
      <c r="B109" s="83"/>
      <c r="C109" s="83"/>
      <c r="D109" s="83"/>
      <c r="E109" s="87"/>
      <c r="F109" s="9" t="str">
        <f>IF(COUNT(E105:E108)=0,"N/A",SUM((E105:E108))/(COUNT((E105:E108))*2))</f>
        <v>N/A</v>
      </c>
      <c r="G109" s="1"/>
      <c r="H109" s="3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25.5" customHeight="1">
      <c r="A110" s="95" t="s">
        <v>107</v>
      </c>
      <c r="B110" s="83"/>
      <c r="C110" s="83"/>
      <c r="D110" s="83"/>
      <c r="E110" s="83"/>
      <c r="F110" s="86"/>
      <c r="G110" s="1"/>
      <c r="H110" s="3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25.5" customHeight="1">
      <c r="A111" s="5">
        <v>1</v>
      </c>
      <c r="B111" s="91" t="s">
        <v>108</v>
      </c>
      <c r="C111" s="83"/>
      <c r="D111" s="84"/>
      <c r="E111" s="6"/>
      <c r="F111" s="7"/>
      <c r="G111" s="1"/>
      <c r="H111" s="3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25.5" customHeight="1">
      <c r="A112" s="5">
        <v>2</v>
      </c>
      <c r="B112" s="91" t="s">
        <v>109</v>
      </c>
      <c r="C112" s="83"/>
      <c r="D112" s="84"/>
      <c r="E112" s="6"/>
      <c r="F112" s="7"/>
      <c r="G112" s="1"/>
      <c r="H112" s="3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25.5" customHeight="1">
      <c r="A113" s="5">
        <v>3</v>
      </c>
      <c r="B113" s="91" t="s">
        <v>110</v>
      </c>
      <c r="C113" s="83"/>
      <c r="D113" s="84"/>
      <c r="E113" s="6"/>
      <c r="F113" s="7"/>
      <c r="G113" s="1"/>
      <c r="H113" s="3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25.5" customHeight="1">
      <c r="A114" s="5">
        <v>4</v>
      </c>
      <c r="B114" s="91" t="s">
        <v>111</v>
      </c>
      <c r="C114" s="83"/>
      <c r="D114" s="84"/>
      <c r="E114" s="6"/>
      <c r="F114" s="7"/>
      <c r="G114" s="1"/>
      <c r="H114" s="3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25.5" customHeight="1">
      <c r="A115" s="5">
        <v>5</v>
      </c>
      <c r="B115" s="91" t="s">
        <v>112</v>
      </c>
      <c r="C115" s="83"/>
      <c r="D115" s="84"/>
      <c r="E115" s="6"/>
      <c r="F115" s="7"/>
      <c r="G115" s="1"/>
      <c r="H115" s="3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25.5" customHeight="1">
      <c r="A116" s="5">
        <v>6</v>
      </c>
      <c r="B116" s="91" t="s">
        <v>113</v>
      </c>
      <c r="C116" s="83"/>
      <c r="D116" s="84"/>
      <c r="E116" s="6"/>
      <c r="F116" s="7"/>
      <c r="G116" s="1"/>
      <c r="H116" s="3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25.5" customHeight="1">
      <c r="A117" s="5">
        <v>7</v>
      </c>
      <c r="B117" s="91" t="s">
        <v>114</v>
      </c>
      <c r="C117" s="83"/>
      <c r="D117" s="84"/>
      <c r="E117" s="6"/>
      <c r="F117" s="7"/>
      <c r="G117" s="1"/>
      <c r="H117" s="3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25.5" customHeight="1">
      <c r="A118" s="5">
        <v>8</v>
      </c>
      <c r="B118" s="91" t="s">
        <v>115</v>
      </c>
      <c r="C118" s="83"/>
      <c r="D118" s="84"/>
      <c r="E118" s="6"/>
      <c r="F118" s="7"/>
      <c r="G118" s="1"/>
      <c r="H118" s="3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25.5" customHeight="1">
      <c r="A119" s="5">
        <v>9</v>
      </c>
      <c r="B119" s="91" t="s">
        <v>116</v>
      </c>
      <c r="C119" s="83"/>
      <c r="D119" s="84"/>
      <c r="E119" s="6"/>
      <c r="F119" s="7"/>
      <c r="G119" s="1"/>
      <c r="H119" s="3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25.5" customHeight="1">
      <c r="A120" s="92" t="s">
        <v>94</v>
      </c>
      <c r="B120" s="83"/>
      <c r="C120" s="83"/>
      <c r="D120" s="83"/>
      <c r="E120" s="87"/>
      <c r="F120" s="9" t="str">
        <f>IF(COUNT(E111:E119)=0,"N/A",SUM((E111:E119))/(COUNT((E111:E119))*2))</f>
        <v>N/A</v>
      </c>
      <c r="G120" s="1"/>
      <c r="H120" s="3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25.5" customHeight="1">
      <c r="A121" s="95" t="s">
        <v>117</v>
      </c>
      <c r="B121" s="83"/>
      <c r="C121" s="83"/>
      <c r="D121" s="83"/>
      <c r="E121" s="83"/>
      <c r="F121" s="86"/>
      <c r="G121" s="1"/>
      <c r="H121" s="3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25.5" customHeight="1">
      <c r="A122" s="93" t="s">
        <v>118</v>
      </c>
      <c r="B122" s="83"/>
      <c r="C122" s="83"/>
      <c r="D122" s="83"/>
      <c r="E122" s="83"/>
      <c r="F122" s="86"/>
      <c r="G122" s="1"/>
      <c r="H122" s="3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25.5" customHeight="1">
      <c r="A123" s="5">
        <v>1</v>
      </c>
      <c r="B123" s="91" t="s">
        <v>119</v>
      </c>
      <c r="C123" s="83"/>
      <c r="D123" s="84"/>
      <c r="E123" s="6"/>
      <c r="F123" s="7"/>
      <c r="G123" s="1"/>
      <c r="H123" s="3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25.5" customHeight="1">
      <c r="A124" s="5">
        <v>2</v>
      </c>
      <c r="B124" s="91" t="s">
        <v>120</v>
      </c>
      <c r="C124" s="83"/>
      <c r="D124" s="84"/>
      <c r="E124" s="6"/>
      <c r="F124" s="7"/>
      <c r="G124" s="1"/>
      <c r="H124" s="3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25.5" customHeight="1">
      <c r="A125" s="5">
        <v>3</v>
      </c>
      <c r="B125" s="91" t="s">
        <v>121</v>
      </c>
      <c r="C125" s="83"/>
      <c r="D125" s="84"/>
      <c r="E125" s="6"/>
      <c r="F125" s="7"/>
      <c r="G125" s="1"/>
      <c r="H125" s="3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25.5" customHeight="1">
      <c r="A126" s="5">
        <v>4</v>
      </c>
      <c r="B126" s="91" t="s">
        <v>122</v>
      </c>
      <c r="C126" s="83"/>
      <c r="D126" s="84"/>
      <c r="E126" s="6"/>
      <c r="F126" s="7"/>
      <c r="G126" s="1"/>
      <c r="H126" s="3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25.5" customHeight="1">
      <c r="A127" s="5">
        <v>5</v>
      </c>
      <c r="B127" s="91" t="s">
        <v>123</v>
      </c>
      <c r="C127" s="83"/>
      <c r="D127" s="84"/>
      <c r="E127" s="6"/>
      <c r="F127" s="7"/>
      <c r="G127" s="1"/>
      <c r="H127" s="3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25.5" customHeight="1">
      <c r="A128" s="93" t="s">
        <v>124</v>
      </c>
      <c r="B128" s="83"/>
      <c r="C128" s="83"/>
      <c r="D128" s="83"/>
      <c r="E128" s="83"/>
      <c r="F128" s="86"/>
      <c r="G128" s="1"/>
      <c r="H128" s="3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25.5" customHeight="1">
      <c r="A129" s="5">
        <v>6</v>
      </c>
      <c r="B129" s="91" t="s">
        <v>125</v>
      </c>
      <c r="C129" s="83"/>
      <c r="D129" s="84"/>
      <c r="E129" s="6"/>
      <c r="F129" s="7"/>
      <c r="G129" s="1"/>
      <c r="H129" s="3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25.5" customHeight="1">
      <c r="A130" s="5">
        <v>7</v>
      </c>
      <c r="B130" s="91" t="s">
        <v>126</v>
      </c>
      <c r="C130" s="83"/>
      <c r="D130" s="84"/>
      <c r="E130" s="6"/>
      <c r="F130" s="7"/>
      <c r="G130" s="1"/>
      <c r="H130" s="3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25.5" customHeight="1">
      <c r="A131" s="5">
        <v>8</v>
      </c>
      <c r="B131" s="91" t="s">
        <v>127</v>
      </c>
      <c r="C131" s="83"/>
      <c r="D131" s="84"/>
      <c r="E131" s="6"/>
      <c r="F131" s="7"/>
      <c r="G131" s="1"/>
      <c r="H131" s="3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17" customHeight="1">
      <c r="A132" s="5">
        <v>9</v>
      </c>
      <c r="B132" s="91" t="s">
        <v>128</v>
      </c>
      <c r="C132" s="83"/>
      <c r="D132" s="84"/>
      <c r="E132" s="6"/>
      <c r="F132" s="7"/>
      <c r="G132" s="1"/>
      <c r="H132" s="3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25.5" customHeight="1">
      <c r="A133" s="5">
        <v>10</v>
      </c>
      <c r="B133" s="91" t="s">
        <v>129</v>
      </c>
      <c r="C133" s="83"/>
      <c r="D133" s="84"/>
      <c r="E133" s="6"/>
      <c r="F133" s="7"/>
      <c r="G133" s="1"/>
      <c r="H133" s="3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25.5" customHeight="1">
      <c r="A134" s="5">
        <v>11</v>
      </c>
      <c r="B134" s="91" t="s">
        <v>130</v>
      </c>
      <c r="C134" s="83"/>
      <c r="D134" s="84"/>
      <c r="E134" s="6"/>
      <c r="F134" s="7"/>
      <c r="G134" s="1"/>
      <c r="H134" s="3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25.5" customHeight="1">
      <c r="A135" s="5">
        <v>12</v>
      </c>
      <c r="B135" s="91" t="s">
        <v>131</v>
      </c>
      <c r="C135" s="83"/>
      <c r="D135" s="84"/>
      <c r="E135" s="6"/>
      <c r="F135" s="7"/>
      <c r="G135" s="1"/>
      <c r="H135" s="3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02" customHeight="1">
      <c r="A136" s="5">
        <v>13</v>
      </c>
      <c r="B136" s="91" t="s">
        <v>132</v>
      </c>
      <c r="C136" s="83"/>
      <c r="D136" s="84"/>
      <c r="E136" s="6"/>
      <c r="F136" s="7"/>
      <c r="G136" s="1"/>
      <c r="H136" s="3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25.5" customHeight="1">
      <c r="A137" s="5">
        <v>14</v>
      </c>
      <c r="B137" s="91" t="s">
        <v>133</v>
      </c>
      <c r="C137" s="83"/>
      <c r="D137" s="84"/>
      <c r="E137" s="6"/>
      <c r="F137" s="7"/>
      <c r="G137" s="1"/>
      <c r="H137" s="3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06.5" customHeight="1">
      <c r="A138" s="5">
        <v>15</v>
      </c>
      <c r="B138" s="91" t="s">
        <v>134</v>
      </c>
      <c r="C138" s="83"/>
      <c r="D138" s="84"/>
      <c r="E138" s="6"/>
      <c r="F138" s="7"/>
      <c r="G138" s="1"/>
      <c r="H138" s="3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25.5" customHeight="1">
      <c r="A139" s="5">
        <v>16</v>
      </c>
      <c r="B139" s="91" t="s">
        <v>135</v>
      </c>
      <c r="C139" s="83"/>
      <c r="D139" s="84"/>
      <c r="E139" s="6"/>
      <c r="F139" s="7"/>
      <c r="G139" s="1"/>
      <c r="H139" s="3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25.5" customHeight="1">
      <c r="A140" s="92" t="s">
        <v>51</v>
      </c>
      <c r="B140" s="83"/>
      <c r="C140" s="83"/>
      <c r="D140" s="83"/>
      <c r="E140" s="87"/>
      <c r="F140" s="9" t="str">
        <f>IF(COUNT(E123:E139)=0,"N/A",SUM((E123:E139))/(COUNT((E123:E139))*2))</f>
        <v>N/A</v>
      </c>
      <c r="G140" s="1"/>
      <c r="H140" s="3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25.5" customHeight="1">
      <c r="A141" s="95" t="s">
        <v>136</v>
      </c>
      <c r="B141" s="83"/>
      <c r="C141" s="83"/>
      <c r="D141" s="83"/>
      <c r="E141" s="83"/>
      <c r="F141" s="86"/>
      <c r="G141" s="1"/>
      <c r="H141" s="3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25.5" customHeight="1">
      <c r="A142" s="5">
        <v>1</v>
      </c>
      <c r="B142" s="91" t="s">
        <v>137</v>
      </c>
      <c r="C142" s="83"/>
      <c r="D142" s="84"/>
      <c r="E142" s="6"/>
      <c r="F142" s="7"/>
      <c r="G142" s="1"/>
      <c r="H142" s="3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243" customHeight="1">
      <c r="A143" s="5">
        <v>2</v>
      </c>
      <c r="B143" s="91" t="s">
        <v>138</v>
      </c>
      <c r="C143" s="83"/>
      <c r="D143" s="84"/>
      <c r="E143" s="6"/>
      <c r="F143" s="7"/>
      <c r="G143" s="1"/>
      <c r="H143" s="3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25.5" customHeight="1">
      <c r="A144" s="5">
        <v>3</v>
      </c>
      <c r="B144" s="91" t="s">
        <v>139</v>
      </c>
      <c r="C144" s="83"/>
      <c r="D144" s="84"/>
      <c r="E144" s="6"/>
      <c r="F144" s="7"/>
      <c r="G144" s="1"/>
      <c r="H144" s="3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57.75" customHeight="1">
      <c r="A145" s="5">
        <v>4</v>
      </c>
      <c r="B145" s="91" t="s">
        <v>140</v>
      </c>
      <c r="C145" s="83"/>
      <c r="D145" s="84"/>
      <c r="E145" s="6"/>
      <c r="F145" s="7"/>
      <c r="G145" s="1"/>
      <c r="H145" s="3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25.5" customHeight="1">
      <c r="A146" s="5">
        <v>5</v>
      </c>
      <c r="B146" s="91" t="s">
        <v>141</v>
      </c>
      <c r="C146" s="83"/>
      <c r="D146" s="84"/>
      <c r="E146" s="6"/>
      <c r="F146" s="7"/>
      <c r="G146" s="1"/>
      <c r="H146" s="3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25.5" customHeight="1">
      <c r="A147" s="5">
        <v>6</v>
      </c>
      <c r="B147" s="91" t="s">
        <v>142</v>
      </c>
      <c r="C147" s="83"/>
      <c r="D147" s="84"/>
      <c r="E147" s="6"/>
      <c r="F147" s="7"/>
      <c r="G147" s="1"/>
      <c r="H147" s="3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25.5" customHeight="1">
      <c r="A148" s="5">
        <v>7</v>
      </c>
      <c r="B148" s="91" t="s">
        <v>143</v>
      </c>
      <c r="C148" s="83"/>
      <c r="D148" s="84"/>
      <c r="E148" s="6"/>
      <c r="F148" s="7"/>
      <c r="G148" s="1"/>
      <c r="H148" s="3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25.5" customHeight="1">
      <c r="A149" s="5">
        <v>8</v>
      </c>
      <c r="B149" s="91" t="s">
        <v>144</v>
      </c>
      <c r="C149" s="83"/>
      <c r="D149" s="84"/>
      <c r="E149" s="6"/>
      <c r="F149" s="7"/>
      <c r="G149" s="1"/>
      <c r="H149" s="3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25.5" customHeight="1">
      <c r="A150" s="5">
        <v>9</v>
      </c>
      <c r="B150" s="91" t="s">
        <v>145</v>
      </c>
      <c r="C150" s="83"/>
      <c r="D150" s="84"/>
      <c r="E150" s="6"/>
      <c r="F150" s="7"/>
      <c r="G150" s="1"/>
      <c r="H150" s="3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25.5" customHeight="1">
      <c r="A151" s="5">
        <v>10</v>
      </c>
      <c r="B151" s="91" t="s">
        <v>146</v>
      </c>
      <c r="C151" s="83"/>
      <c r="D151" s="84"/>
      <c r="E151" s="6"/>
      <c r="F151" s="7"/>
      <c r="G151" s="1"/>
      <c r="H151" s="3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25.5" customHeight="1">
      <c r="A152" s="5">
        <v>11</v>
      </c>
      <c r="B152" s="91" t="s">
        <v>147</v>
      </c>
      <c r="C152" s="83"/>
      <c r="D152" s="84"/>
      <c r="E152" s="6"/>
      <c r="F152" s="7"/>
      <c r="G152" s="1"/>
      <c r="H152" s="3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25.5" customHeight="1">
      <c r="A153" s="5">
        <v>12</v>
      </c>
      <c r="B153" s="91" t="s">
        <v>148</v>
      </c>
      <c r="C153" s="83"/>
      <c r="D153" s="84"/>
      <c r="E153" s="6"/>
      <c r="F153" s="7"/>
      <c r="G153" s="1"/>
      <c r="H153" s="3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25.5" customHeight="1">
      <c r="A154" s="5">
        <v>13</v>
      </c>
      <c r="B154" s="91" t="s">
        <v>149</v>
      </c>
      <c r="C154" s="83"/>
      <c r="D154" s="84"/>
      <c r="E154" s="6"/>
      <c r="F154" s="7"/>
      <c r="G154" s="1"/>
      <c r="H154" s="3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88.5" customHeight="1">
      <c r="A155" s="5">
        <v>14</v>
      </c>
      <c r="B155" s="91" t="s">
        <v>150</v>
      </c>
      <c r="C155" s="83"/>
      <c r="D155" s="84"/>
      <c r="E155" s="6"/>
      <c r="F155" s="7"/>
      <c r="G155" s="1"/>
      <c r="H155" s="3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88.5" customHeight="1">
      <c r="A156" s="5">
        <v>15</v>
      </c>
      <c r="B156" s="91" t="s">
        <v>151</v>
      </c>
      <c r="C156" s="83"/>
      <c r="D156" s="84"/>
      <c r="E156" s="6"/>
      <c r="F156" s="7"/>
      <c r="G156" s="1"/>
      <c r="H156" s="3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25.5" customHeight="1">
      <c r="A157" s="5">
        <v>16</v>
      </c>
      <c r="B157" s="91" t="s">
        <v>152</v>
      </c>
      <c r="C157" s="83"/>
      <c r="D157" s="84"/>
      <c r="E157" s="6"/>
      <c r="F157" s="7"/>
      <c r="G157" s="1"/>
      <c r="H157" s="3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25.5" customHeight="1">
      <c r="A158" s="5">
        <v>17</v>
      </c>
      <c r="B158" s="91" t="s">
        <v>153</v>
      </c>
      <c r="C158" s="83"/>
      <c r="D158" s="84"/>
      <c r="E158" s="6"/>
      <c r="F158" s="7"/>
      <c r="G158" s="1"/>
      <c r="H158" s="3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25.5" customHeight="1">
      <c r="A159" s="5">
        <v>18</v>
      </c>
      <c r="B159" s="91" t="s">
        <v>154</v>
      </c>
      <c r="C159" s="83"/>
      <c r="D159" s="84"/>
      <c r="E159" s="6"/>
      <c r="F159" s="7"/>
      <c r="G159" s="1"/>
      <c r="H159" s="3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25.5" customHeight="1">
      <c r="A160" s="5">
        <v>19</v>
      </c>
      <c r="B160" s="91" t="s">
        <v>155</v>
      </c>
      <c r="C160" s="83"/>
      <c r="D160" s="84"/>
      <c r="E160" s="6"/>
      <c r="F160" s="7"/>
      <c r="G160" s="1"/>
      <c r="H160" s="3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25.5" customHeight="1">
      <c r="A161" s="93" t="s">
        <v>156</v>
      </c>
      <c r="B161" s="83"/>
      <c r="C161" s="83"/>
      <c r="D161" s="83"/>
      <c r="E161" s="83"/>
      <c r="F161" s="86"/>
      <c r="G161" s="1"/>
      <c r="H161" s="3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25.5" customHeight="1">
      <c r="A162" s="5">
        <v>20</v>
      </c>
      <c r="B162" s="91" t="s">
        <v>157</v>
      </c>
      <c r="C162" s="83"/>
      <c r="D162" s="84"/>
      <c r="E162" s="6"/>
      <c r="F162" s="7"/>
      <c r="G162" s="1"/>
      <c r="H162" s="3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25.5" customHeight="1">
      <c r="A163" s="5">
        <v>21</v>
      </c>
      <c r="B163" s="91" t="s">
        <v>158</v>
      </c>
      <c r="C163" s="83"/>
      <c r="D163" s="84"/>
      <c r="E163" s="6"/>
      <c r="F163" s="7"/>
      <c r="G163" s="1"/>
      <c r="H163" s="3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25.5" customHeight="1">
      <c r="A164" s="5">
        <v>22</v>
      </c>
      <c r="B164" s="91" t="s">
        <v>159</v>
      </c>
      <c r="C164" s="83"/>
      <c r="D164" s="84"/>
      <c r="E164" s="6"/>
      <c r="F164" s="7"/>
      <c r="G164" s="1"/>
      <c r="H164" s="3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25.5" customHeight="1">
      <c r="A165" s="5">
        <v>23</v>
      </c>
      <c r="B165" s="91" t="s">
        <v>160</v>
      </c>
      <c r="C165" s="83"/>
      <c r="D165" s="84"/>
      <c r="E165" s="6"/>
      <c r="F165" s="7"/>
      <c r="G165" s="1"/>
      <c r="H165" s="3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75" customHeight="1">
      <c r="A166" s="5">
        <v>24</v>
      </c>
      <c r="B166" s="91" t="s">
        <v>161</v>
      </c>
      <c r="C166" s="83"/>
      <c r="D166" s="84"/>
      <c r="E166" s="6"/>
      <c r="F166" s="7"/>
      <c r="G166" s="1"/>
      <c r="H166" s="3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25.5" customHeight="1">
      <c r="A167" s="5">
        <v>25</v>
      </c>
      <c r="B167" s="91" t="s">
        <v>162</v>
      </c>
      <c r="C167" s="83"/>
      <c r="D167" s="84"/>
      <c r="E167" s="6"/>
      <c r="F167" s="7"/>
      <c r="G167" s="1"/>
      <c r="H167" s="3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25.5" customHeight="1">
      <c r="A168" s="5">
        <v>26</v>
      </c>
      <c r="B168" s="91" t="s">
        <v>163</v>
      </c>
      <c r="C168" s="83"/>
      <c r="D168" s="84"/>
      <c r="E168" s="6"/>
      <c r="F168" s="7"/>
      <c r="G168" s="1"/>
      <c r="H168" s="3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25.5" customHeight="1">
      <c r="A169" s="5">
        <v>27</v>
      </c>
      <c r="B169" s="91" t="s">
        <v>164</v>
      </c>
      <c r="C169" s="83"/>
      <c r="D169" s="84"/>
      <c r="E169" s="6"/>
      <c r="F169" s="7"/>
      <c r="G169" s="1"/>
      <c r="H169" s="3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25.5" customHeight="1">
      <c r="A170" s="5">
        <v>28</v>
      </c>
      <c r="B170" s="91" t="s">
        <v>165</v>
      </c>
      <c r="C170" s="83"/>
      <c r="D170" s="84"/>
      <c r="E170" s="6"/>
      <c r="F170" s="7"/>
      <c r="G170" s="1"/>
      <c r="H170" s="3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25.5" customHeight="1">
      <c r="A171" s="5">
        <v>29</v>
      </c>
      <c r="B171" s="91" t="s">
        <v>166</v>
      </c>
      <c r="C171" s="83"/>
      <c r="D171" s="84"/>
      <c r="E171" s="6"/>
      <c r="F171" s="7"/>
      <c r="G171" s="1"/>
      <c r="H171" s="3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25.5" customHeight="1">
      <c r="A172" s="5">
        <v>30</v>
      </c>
      <c r="B172" s="91" t="s">
        <v>167</v>
      </c>
      <c r="C172" s="83"/>
      <c r="D172" s="84"/>
      <c r="E172" s="6"/>
      <c r="F172" s="7"/>
      <c r="G172" s="1"/>
      <c r="H172" s="3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25.5" customHeight="1">
      <c r="A173" s="5">
        <v>31</v>
      </c>
      <c r="B173" s="91" t="s">
        <v>168</v>
      </c>
      <c r="C173" s="83"/>
      <c r="D173" s="84"/>
      <c r="E173" s="6"/>
      <c r="F173" s="7"/>
      <c r="G173" s="1"/>
      <c r="H173" s="3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25.5" customHeight="1">
      <c r="A174" s="92" t="s">
        <v>51</v>
      </c>
      <c r="B174" s="83"/>
      <c r="C174" s="83"/>
      <c r="D174" s="83"/>
      <c r="E174" s="87"/>
      <c r="F174" s="9" t="str">
        <f>IF(COUNT(E142:E173)=0,"N/A",SUM((E142:E173))/(COUNT((E142:E173))*2))</f>
        <v>N/A</v>
      </c>
      <c r="G174" s="1"/>
      <c r="H174" s="3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25.5" customHeight="1">
      <c r="A175" s="95" t="s">
        <v>169</v>
      </c>
      <c r="B175" s="83"/>
      <c r="C175" s="83"/>
      <c r="D175" s="83"/>
      <c r="E175" s="83"/>
      <c r="F175" s="86"/>
      <c r="G175" s="1"/>
      <c r="H175" s="3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70.5" customHeight="1">
      <c r="A176" s="5">
        <v>1</v>
      </c>
      <c r="B176" s="96" t="s">
        <v>170</v>
      </c>
      <c r="C176" s="83"/>
      <c r="D176" s="84"/>
      <c r="E176" s="6"/>
      <c r="F176" s="7"/>
      <c r="G176" s="1"/>
      <c r="H176" s="3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56.25" customHeight="1">
      <c r="A177" s="5">
        <v>2</v>
      </c>
      <c r="B177" s="91" t="s">
        <v>171</v>
      </c>
      <c r="C177" s="83"/>
      <c r="D177" s="84"/>
      <c r="E177" s="6"/>
      <c r="F177" s="7"/>
      <c r="G177" s="1"/>
      <c r="H177" s="3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25.5" customHeight="1">
      <c r="A178" s="5">
        <v>3</v>
      </c>
      <c r="B178" s="91" t="s">
        <v>172</v>
      </c>
      <c r="C178" s="83"/>
      <c r="D178" s="84"/>
      <c r="E178" s="6"/>
      <c r="F178" s="7"/>
      <c r="G178" s="1"/>
      <c r="H178" s="3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25.5" customHeight="1">
      <c r="A179" s="5">
        <v>4</v>
      </c>
      <c r="B179" s="91" t="s">
        <v>173</v>
      </c>
      <c r="C179" s="83"/>
      <c r="D179" s="84"/>
      <c r="E179" s="6"/>
      <c r="F179" s="7"/>
      <c r="G179" s="1"/>
      <c r="H179" s="3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86.25" customHeight="1">
      <c r="A180" s="5">
        <v>5</v>
      </c>
      <c r="B180" s="91" t="s">
        <v>174</v>
      </c>
      <c r="C180" s="83"/>
      <c r="D180" s="84"/>
      <c r="E180" s="6"/>
      <c r="F180" s="7"/>
      <c r="G180" s="1"/>
      <c r="H180" s="3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6" customHeight="1">
      <c r="A181" s="5">
        <v>6</v>
      </c>
      <c r="B181" s="91" t="s">
        <v>175</v>
      </c>
      <c r="C181" s="83"/>
      <c r="D181" s="84"/>
      <c r="E181" s="6"/>
      <c r="F181" s="7"/>
      <c r="G181" s="1"/>
      <c r="H181" s="3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93" customHeight="1">
      <c r="A182" s="5">
        <v>7</v>
      </c>
      <c r="B182" s="91" t="s">
        <v>176</v>
      </c>
      <c r="C182" s="83"/>
      <c r="D182" s="84"/>
      <c r="E182" s="6"/>
      <c r="F182" s="7"/>
      <c r="G182" s="1"/>
      <c r="H182" s="3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78.75" customHeight="1">
      <c r="A183" s="5">
        <v>8</v>
      </c>
      <c r="B183" s="91" t="s">
        <v>177</v>
      </c>
      <c r="C183" s="83"/>
      <c r="D183" s="84"/>
      <c r="E183" s="6"/>
      <c r="F183" s="7"/>
      <c r="G183" s="1"/>
      <c r="H183" s="3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45.75" customHeight="1">
      <c r="A184" s="5">
        <v>9</v>
      </c>
      <c r="B184" s="91" t="s">
        <v>178</v>
      </c>
      <c r="C184" s="83"/>
      <c r="D184" s="84"/>
      <c r="E184" s="6"/>
      <c r="F184" s="7"/>
      <c r="G184" s="1"/>
      <c r="H184" s="3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25.5" customHeight="1">
      <c r="A185" s="5">
        <v>10</v>
      </c>
      <c r="B185" s="91" t="s">
        <v>179</v>
      </c>
      <c r="C185" s="83"/>
      <c r="D185" s="84"/>
      <c r="E185" s="6"/>
      <c r="F185" s="7"/>
      <c r="G185" s="1"/>
      <c r="H185" s="3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25.5" customHeight="1">
      <c r="A186" s="93" t="s">
        <v>180</v>
      </c>
      <c r="B186" s="83"/>
      <c r="C186" s="83"/>
      <c r="D186" s="83"/>
      <c r="E186" s="83"/>
      <c r="F186" s="86"/>
      <c r="G186" s="1"/>
      <c r="H186" s="3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0" customHeight="1">
      <c r="A187" s="5">
        <v>11</v>
      </c>
      <c r="B187" s="97" t="s">
        <v>181</v>
      </c>
      <c r="C187" s="83"/>
      <c r="D187" s="84"/>
      <c r="E187" s="6"/>
      <c r="F187" s="7"/>
      <c r="G187" s="1"/>
      <c r="H187" s="3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92.25" customHeight="1">
      <c r="A188" s="5">
        <v>12</v>
      </c>
      <c r="B188" s="97" t="s">
        <v>182</v>
      </c>
      <c r="C188" s="83"/>
      <c r="D188" s="84"/>
      <c r="E188" s="6"/>
      <c r="F188" s="7"/>
      <c r="G188" s="1"/>
      <c r="H188" s="3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25.5" customHeight="1">
      <c r="A189" s="5">
        <v>13</v>
      </c>
      <c r="B189" s="91" t="s">
        <v>183</v>
      </c>
      <c r="C189" s="83"/>
      <c r="D189" s="84"/>
      <c r="E189" s="6"/>
      <c r="F189" s="7"/>
      <c r="G189" s="1"/>
      <c r="H189" s="3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25.5" customHeight="1">
      <c r="A190" s="5">
        <v>14</v>
      </c>
      <c r="B190" s="91" t="s">
        <v>184</v>
      </c>
      <c r="C190" s="83"/>
      <c r="D190" s="84"/>
      <c r="E190" s="6"/>
      <c r="F190" s="7"/>
      <c r="G190" s="1"/>
      <c r="H190" s="3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25.5" customHeight="1">
      <c r="A191" s="5">
        <v>15</v>
      </c>
      <c r="B191" s="91" t="s">
        <v>185</v>
      </c>
      <c r="C191" s="83"/>
      <c r="D191" s="84"/>
      <c r="E191" s="6"/>
      <c r="F191" s="7"/>
      <c r="G191" s="1"/>
      <c r="H191" s="3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25.5" customHeight="1">
      <c r="A192" s="5">
        <v>16</v>
      </c>
      <c r="B192" s="91" t="s">
        <v>186</v>
      </c>
      <c r="C192" s="83"/>
      <c r="D192" s="84"/>
      <c r="E192" s="6"/>
      <c r="F192" s="7"/>
      <c r="G192" s="1"/>
      <c r="H192" s="3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25.5" customHeight="1">
      <c r="A193" s="92" t="s">
        <v>51</v>
      </c>
      <c r="B193" s="83"/>
      <c r="C193" s="83"/>
      <c r="D193" s="83"/>
      <c r="E193" s="87"/>
      <c r="F193" s="9" t="str">
        <f>IF(COUNT(E176:E192)=0,"N/A",SUM((E176:E192))/(COUNT((E176:E192))*2))</f>
        <v>N/A</v>
      </c>
      <c r="G193" s="1"/>
      <c r="H193" s="3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25.5" customHeight="1">
      <c r="A194" s="94" t="s">
        <v>187</v>
      </c>
      <c r="B194" s="83"/>
      <c r="C194" s="83"/>
      <c r="D194" s="83"/>
      <c r="E194" s="83"/>
      <c r="F194" s="86"/>
      <c r="G194" s="1"/>
      <c r="H194" s="3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25.5" customHeight="1">
      <c r="A195" s="5">
        <v>1</v>
      </c>
      <c r="B195" s="82" t="s">
        <v>188</v>
      </c>
      <c r="C195" s="83"/>
      <c r="D195" s="84"/>
      <c r="E195" s="6"/>
      <c r="F195" s="7"/>
      <c r="G195" s="1"/>
      <c r="H195" s="3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25.5" customHeight="1">
      <c r="A196" s="5">
        <v>2</v>
      </c>
      <c r="B196" s="82" t="s">
        <v>189</v>
      </c>
      <c r="C196" s="83"/>
      <c r="D196" s="84"/>
      <c r="E196" s="6"/>
      <c r="F196" s="7"/>
      <c r="G196" s="1"/>
      <c r="H196" s="3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25.5" customHeight="1">
      <c r="A197" s="5">
        <v>3</v>
      </c>
      <c r="B197" s="82" t="s">
        <v>190</v>
      </c>
      <c r="C197" s="83"/>
      <c r="D197" s="84"/>
      <c r="E197" s="6"/>
      <c r="F197" s="7"/>
      <c r="G197" s="1"/>
      <c r="H197" s="3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25.5" customHeight="1">
      <c r="A198" s="5">
        <v>4</v>
      </c>
      <c r="B198" s="82" t="s">
        <v>191</v>
      </c>
      <c r="C198" s="83"/>
      <c r="D198" s="84"/>
      <c r="E198" s="6"/>
      <c r="F198" s="7"/>
      <c r="G198" s="1"/>
      <c r="H198" s="3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25.5" customHeight="1">
      <c r="A199" s="5">
        <v>5</v>
      </c>
      <c r="B199" s="82" t="s">
        <v>192</v>
      </c>
      <c r="C199" s="83"/>
      <c r="D199" s="84"/>
      <c r="E199" s="6"/>
      <c r="F199" s="7"/>
      <c r="G199" s="1"/>
      <c r="H199" s="3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25.5" customHeight="1">
      <c r="A200" s="5">
        <v>6</v>
      </c>
      <c r="B200" s="82" t="s">
        <v>193</v>
      </c>
      <c r="C200" s="83"/>
      <c r="D200" s="84"/>
      <c r="E200" s="6"/>
      <c r="F200" s="7"/>
      <c r="G200" s="1"/>
      <c r="H200" s="3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25.5" customHeight="1">
      <c r="A201" s="5">
        <v>7</v>
      </c>
      <c r="B201" s="82" t="s">
        <v>194</v>
      </c>
      <c r="C201" s="83"/>
      <c r="D201" s="84"/>
      <c r="E201" s="6"/>
      <c r="F201" s="7"/>
      <c r="G201" s="1"/>
      <c r="H201" s="3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25.5" customHeight="1">
      <c r="A202" s="5">
        <v>8</v>
      </c>
      <c r="B202" s="82" t="s">
        <v>195</v>
      </c>
      <c r="C202" s="83"/>
      <c r="D202" s="84"/>
      <c r="E202" s="6"/>
      <c r="F202" s="7"/>
      <c r="G202" s="1"/>
      <c r="H202" s="3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25.5" customHeight="1">
      <c r="A203" s="5">
        <v>9</v>
      </c>
      <c r="B203" s="82" t="s">
        <v>196</v>
      </c>
      <c r="C203" s="83"/>
      <c r="D203" s="84"/>
      <c r="E203" s="6"/>
      <c r="F203" s="7"/>
      <c r="G203" s="1"/>
      <c r="H203" s="3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25.5" customHeight="1">
      <c r="A204" s="5">
        <v>10</v>
      </c>
      <c r="B204" s="82" t="s">
        <v>197</v>
      </c>
      <c r="C204" s="83"/>
      <c r="D204" s="84"/>
      <c r="E204" s="6"/>
      <c r="F204" s="7"/>
      <c r="G204" s="1"/>
      <c r="H204" s="3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25.5" customHeight="1">
      <c r="A205" s="5">
        <v>11</v>
      </c>
      <c r="B205" s="82" t="s">
        <v>198</v>
      </c>
      <c r="C205" s="83"/>
      <c r="D205" s="84"/>
      <c r="E205" s="6"/>
      <c r="F205" s="7"/>
      <c r="G205" s="1"/>
      <c r="H205" s="3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25.5" customHeight="1">
      <c r="A206" s="92" t="s">
        <v>51</v>
      </c>
      <c r="B206" s="83"/>
      <c r="C206" s="83"/>
      <c r="D206" s="83"/>
      <c r="E206" s="87"/>
      <c r="F206" s="9" t="str">
        <f>IF(COUNT(E195:E205)=0,"N/A",SUM((E195:E205))/(COUNT((E195:E205))*2))</f>
        <v>N/A</v>
      </c>
      <c r="G206" s="1"/>
      <c r="H206" s="3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25.5" customHeight="1">
      <c r="A207" s="93" t="s">
        <v>199</v>
      </c>
      <c r="B207" s="83"/>
      <c r="C207" s="83"/>
      <c r="D207" s="83"/>
      <c r="E207" s="83"/>
      <c r="F207" s="86"/>
      <c r="G207" s="1"/>
      <c r="H207" s="3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25.5" customHeight="1">
      <c r="A208" s="5">
        <v>1</v>
      </c>
      <c r="B208" s="82" t="s">
        <v>200</v>
      </c>
      <c r="C208" s="83"/>
      <c r="D208" s="84"/>
      <c r="E208" s="6"/>
      <c r="F208" s="7"/>
      <c r="G208" s="1"/>
      <c r="H208" s="3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25.5" customHeight="1">
      <c r="A209" s="5">
        <v>2</v>
      </c>
      <c r="B209" s="82" t="s">
        <v>201</v>
      </c>
      <c r="C209" s="83"/>
      <c r="D209" s="84"/>
      <c r="E209" s="6"/>
      <c r="F209" s="7"/>
      <c r="G209" s="1"/>
      <c r="H209" s="3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25.5" customHeight="1">
      <c r="A210" s="5">
        <v>3</v>
      </c>
      <c r="B210" s="82" t="s">
        <v>202</v>
      </c>
      <c r="C210" s="83"/>
      <c r="D210" s="84"/>
      <c r="E210" s="6"/>
      <c r="F210" s="7"/>
      <c r="G210" s="1"/>
      <c r="H210" s="3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25.5" customHeight="1">
      <c r="A211" s="5">
        <v>4</v>
      </c>
      <c r="B211" s="82" t="s">
        <v>203</v>
      </c>
      <c r="C211" s="83"/>
      <c r="D211" s="84"/>
      <c r="E211" s="6"/>
      <c r="F211" s="7"/>
      <c r="G211" s="1"/>
      <c r="H211" s="3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25.5" customHeight="1">
      <c r="A212" s="5">
        <v>5</v>
      </c>
      <c r="B212" s="82" t="s">
        <v>204</v>
      </c>
      <c r="C212" s="83"/>
      <c r="D212" s="84"/>
      <c r="E212" s="6"/>
      <c r="F212" s="7"/>
      <c r="G212" s="1"/>
      <c r="H212" s="3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25.5" customHeight="1">
      <c r="A213" s="92" t="s">
        <v>51</v>
      </c>
      <c r="B213" s="83"/>
      <c r="C213" s="83"/>
      <c r="D213" s="83"/>
      <c r="E213" s="87"/>
      <c r="F213" s="9" t="str">
        <f>IF(COUNT(E208:E212)=0,"N/A",SUM((E208:E212))/(COUNT((E208:E212))*2))</f>
        <v>N/A</v>
      </c>
      <c r="G213" s="1"/>
      <c r="H213" s="3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25.5" customHeight="1">
      <c r="A214" s="93" t="s">
        <v>205</v>
      </c>
      <c r="B214" s="83"/>
      <c r="C214" s="83"/>
      <c r="D214" s="83"/>
      <c r="E214" s="83"/>
      <c r="F214" s="86"/>
      <c r="G214" s="1"/>
      <c r="H214" s="3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87" customHeight="1">
      <c r="A215" s="5">
        <v>1</v>
      </c>
      <c r="B215" s="91" t="s">
        <v>206</v>
      </c>
      <c r="C215" s="83"/>
      <c r="D215" s="84"/>
      <c r="E215" s="6"/>
      <c r="F215" s="7"/>
      <c r="G215" s="1"/>
      <c r="H215" s="3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25.5" customHeight="1">
      <c r="A216" s="5">
        <v>2</v>
      </c>
      <c r="B216" s="91" t="s">
        <v>207</v>
      </c>
      <c r="C216" s="83"/>
      <c r="D216" s="84"/>
      <c r="E216" s="6"/>
      <c r="F216" s="7"/>
      <c r="G216" s="1"/>
      <c r="H216" s="3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25.5" customHeight="1">
      <c r="A217" s="5">
        <v>3</v>
      </c>
      <c r="B217" s="91" t="s">
        <v>208</v>
      </c>
      <c r="C217" s="83"/>
      <c r="D217" s="84"/>
      <c r="E217" s="6"/>
      <c r="F217" s="7"/>
      <c r="G217" s="1"/>
      <c r="H217" s="3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25.5" customHeight="1">
      <c r="A218" s="5">
        <v>4</v>
      </c>
      <c r="B218" s="91" t="s">
        <v>209</v>
      </c>
      <c r="C218" s="83"/>
      <c r="D218" s="84"/>
      <c r="E218" s="6"/>
      <c r="F218" s="7"/>
      <c r="G218" s="1"/>
      <c r="H218" s="3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25.5" customHeight="1">
      <c r="A219" s="5">
        <v>5</v>
      </c>
      <c r="B219" s="91" t="s">
        <v>210</v>
      </c>
      <c r="C219" s="83"/>
      <c r="D219" s="84"/>
      <c r="E219" s="6"/>
      <c r="F219" s="7"/>
      <c r="G219" s="1"/>
      <c r="H219" s="3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25.5" customHeight="1">
      <c r="A220" s="5">
        <v>6</v>
      </c>
      <c r="B220" s="91" t="s">
        <v>211</v>
      </c>
      <c r="C220" s="83"/>
      <c r="D220" s="84"/>
      <c r="E220" s="6"/>
      <c r="F220" s="7"/>
      <c r="G220" s="1"/>
      <c r="H220" s="3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25.5" customHeight="1">
      <c r="A221" s="5">
        <v>7</v>
      </c>
      <c r="B221" s="91" t="s">
        <v>212</v>
      </c>
      <c r="C221" s="83"/>
      <c r="D221" s="84"/>
      <c r="E221" s="6"/>
      <c r="F221" s="7"/>
      <c r="G221" s="1"/>
      <c r="H221" s="3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25.5" customHeight="1">
      <c r="A222" s="5">
        <v>8</v>
      </c>
      <c r="B222" s="91" t="s">
        <v>213</v>
      </c>
      <c r="C222" s="83"/>
      <c r="D222" s="84"/>
      <c r="E222" s="6"/>
      <c r="F222" s="7"/>
      <c r="G222" s="1"/>
      <c r="H222" s="3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25.5" customHeight="1">
      <c r="A223" s="5">
        <v>9</v>
      </c>
      <c r="B223" s="91" t="s">
        <v>214</v>
      </c>
      <c r="C223" s="83"/>
      <c r="D223" s="84"/>
      <c r="E223" s="6"/>
      <c r="F223" s="7"/>
      <c r="G223" s="1"/>
      <c r="H223" s="3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25.5" customHeight="1">
      <c r="A224" s="92" t="s">
        <v>51</v>
      </c>
      <c r="B224" s="83"/>
      <c r="C224" s="83"/>
      <c r="D224" s="83"/>
      <c r="E224" s="87"/>
      <c r="F224" s="9" t="str">
        <f>IF(COUNT(E215:E223)=0,"N/A",SUM((E215:E223))/(COUNT((E215:E223))*2))</f>
        <v>N/A</v>
      </c>
      <c r="G224" s="1"/>
      <c r="H224" s="3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25.5" customHeight="1">
      <c r="A225" s="93" t="s">
        <v>215</v>
      </c>
      <c r="B225" s="83"/>
      <c r="C225" s="83"/>
      <c r="D225" s="83"/>
      <c r="E225" s="83"/>
      <c r="F225" s="86"/>
      <c r="G225" s="1"/>
      <c r="H225" s="3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25.5" customHeight="1">
      <c r="A226" s="5">
        <v>1</v>
      </c>
      <c r="B226" s="91" t="s">
        <v>216</v>
      </c>
      <c r="C226" s="83"/>
      <c r="D226" s="84"/>
      <c r="E226" s="6"/>
      <c r="F226" s="7"/>
      <c r="G226" s="1"/>
      <c r="H226" s="3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77.25" customHeight="1">
      <c r="A227" s="5">
        <v>2</v>
      </c>
      <c r="B227" s="91" t="s">
        <v>217</v>
      </c>
      <c r="C227" s="83"/>
      <c r="D227" s="84"/>
      <c r="E227" s="6"/>
      <c r="F227" s="7"/>
      <c r="G227" s="1"/>
      <c r="H227" s="3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25.5" customHeight="1">
      <c r="A228" s="5">
        <v>3</v>
      </c>
      <c r="B228" s="91" t="s">
        <v>218</v>
      </c>
      <c r="C228" s="83"/>
      <c r="D228" s="84"/>
      <c r="E228" s="6"/>
      <c r="F228" s="7"/>
      <c r="G228" s="1"/>
      <c r="H228" s="3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25.5" customHeight="1">
      <c r="A229" s="5">
        <v>4</v>
      </c>
      <c r="B229" s="91" t="s">
        <v>219</v>
      </c>
      <c r="C229" s="83"/>
      <c r="D229" s="84"/>
      <c r="E229" s="6"/>
      <c r="F229" s="7"/>
      <c r="G229" s="1"/>
      <c r="H229" s="3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25.5" customHeight="1">
      <c r="A230" s="5">
        <v>5</v>
      </c>
      <c r="B230" s="91" t="s">
        <v>220</v>
      </c>
      <c r="C230" s="83"/>
      <c r="D230" s="84"/>
      <c r="E230" s="6"/>
      <c r="F230" s="7"/>
      <c r="G230" s="1"/>
      <c r="H230" s="3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25.5" customHeight="1">
      <c r="A231" s="5">
        <v>6</v>
      </c>
      <c r="B231" s="91" t="s">
        <v>221</v>
      </c>
      <c r="C231" s="83"/>
      <c r="D231" s="84"/>
      <c r="E231" s="6"/>
      <c r="F231" s="7"/>
      <c r="G231" s="1"/>
      <c r="H231" s="3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25.5" customHeight="1">
      <c r="A232" s="5">
        <v>7</v>
      </c>
      <c r="B232" s="91" t="s">
        <v>222</v>
      </c>
      <c r="C232" s="83"/>
      <c r="D232" s="84"/>
      <c r="E232" s="6"/>
      <c r="F232" s="7"/>
      <c r="G232" s="1"/>
      <c r="H232" s="3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25.5" customHeight="1">
      <c r="A233" s="5">
        <v>8</v>
      </c>
      <c r="B233" s="91" t="s">
        <v>223</v>
      </c>
      <c r="C233" s="83"/>
      <c r="D233" s="84"/>
      <c r="E233" s="6"/>
      <c r="F233" s="7"/>
      <c r="G233" s="1"/>
      <c r="H233" s="3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25.5" customHeight="1">
      <c r="A234" s="92" t="s">
        <v>51</v>
      </c>
      <c r="B234" s="83"/>
      <c r="C234" s="83"/>
      <c r="D234" s="83"/>
      <c r="E234" s="87"/>
      <c r="F234" s="9" t="str">
        <f>IF(COUNT(E226:E233)=0,"N/A",SUM((E226:E233))/(COUNT((E226:E233))*2))</f>
        <v>N/A</v>
      </c>
      <c r="G234" s="1"/>
      <c r="H234" s="3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25.5" customHeight="1">
      <c r="A235" s="93" t="s">
        <v>224</v>
      </c>
      <c r="B235" s="83"/>
      <c r="C235" s="83"/>
      <c r="D235" s="83"/>
      <c r="E235" s="83"/>
      <c r="F235" s="86"/>
      <c r="G235" s="1"/>
      <c r="H235" s="3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25.5" customHeight="1">
      <c r="A236" s="5">
        <v>1</v>
      </c>
      <c r="B236" s="82" t="s">
        <v>225</v>
      </c>
      <c r="C236" s="83"/>
      <c r="D236" s="84"/>
      <c r="E236" s="6"/>
      <c r="F236" s="7"/>
      <c r="G236" s="1"/>
      <c r="H236" s="3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25.5" customHeight="1">
      <c r="A237" s="5">
        <v>2</v>
      </c>
      <c r="B237" s="82" t="s">
        <v>226</v>
      </c>
      <c r="C237" s="83"/>
      <c r="D237" s="84"/>
      <c r="E237" s="6"/>
      <c r="F237" s="7"/>
      <c r="G237" s="1"/>
      <c r="H237" s="3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25.5" customHeight="1">
      <c r="A238" s="5">
        <v>3</v>
      </c>
      <c r="B238" s="82" t="s">
        <v>227</v>
      </c>
      <c r="C238" s="83"/>
      <c r="D238" s="84"/>
      <c r="E238" s="6"/>
      <c r="F238" s="7"/>
      <c r="G238" s="1"/>
      <c r="H238" s="3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25.5" customHeight="1">
      <c r="A239" s="5">
        <v>4</v>
      </c>
      <c r="B239" s="82" t="s">
        <v>228</v>
      </c>
      <c r="C239" s="83"/>
      <c r="D239" s="84"/>
      <c r="E239" s="6"/>
      <c r="F239" s="7"/>
      <c r="G239" s="1"/>
      <c r="H239" s="3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25.5" customHeight="1">
      <c r="A240" s="5">
        <v>5</v>
      </c>
      <c r="B240" s="82" t="s">
        <v>229</v>
      </c>
      <c r="C240" s="83"/>
      <c r="D240" s="84"/>
      <c r="E240" s="6"/>
      <c r="F240" s="7"/>
      <c r="G240" s="1"/>
      <c r="H240" s="3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25.5" customHeight="1">
      <c r="A241" s="5">
        <v>6</v>
      </c>
      <c r="B241" s="82" t="s">
        <v>230</v>
      </c>
      <c r="C241" s="83"/>
      <c r="D241" s="84"/>
      <c r="E241" s="6"/>
      <c r="F241" s="7"/>
      <c r="G241" s="1"/>
      <c r="H241" s="3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25.5" customHeight="1">
      <c r="A242" s="5">
        <v>7</v>
      </c>
      <c r="B242" s="82" t="s">
        <v>231</v>
      </c>
      <c r="C242" s="83"/>
      <c r="D242" s="84"/>
      <c r="E242" s="6"/>
      <c r="F242" s="7"/>
      <c r="G242" s="1"/>
      <c r="H242" s="3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11" customHeight="1">
      <c r="A243" s="5">
        <v>8</v>
      </c>
      <c r="B243" s="82" t="s">
        <v>232</v>
      </c>
      <c r="C243" s="83"/>
      <c r="D243" s="84"/>
      <c r="E243" s="6"/>
      <c r="F243" s="7"/>
      <c r="G243" s="1"/>
      <c r="H243" s="3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25.5" customHeight="1">
      <c r="A244" s="5">
        <v>9</v>
      </c>
      <c r="B244" s="82" t="s">
        <v>233</v>
      </c>
      <c r="C244" s="83"/>
      <c r="D244" s="84"/>
      <c r="E244" s="6"/>
      <c r="F244" s="7"/>
      <c r="G244" s="1"/>
      <c r="H244" s="3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25.5" customHeight="1">
      <c r="A245" s="5">
        <v>10</v>
      </c>
      <c r="B245" s="82" t="s">
        <v>234</v>
      </c>
      <c r="C245" s="83"/>
      <c r="D245" s="84"/>
      <c r="E245" s="6"/>
      <c r="F245" s="7"/>
      <c r="G245" s="1"/>
      <c r="H245" s="3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25.5" customHeight="1">
      <c r="A246" s="5">
        <v>11</v>
      </c>
      <c r="B246" s="82" t="s">
        <v>235</v>
      </c>
      <c r="C246" s="83"/>
      <c r="D246" s="84"/>
      <c r="E246" s="6"/>
      <c r="F246" s="7"/>
      <c r="G246" s="1"/>
      <c r="H246" s="3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25.5" customHeight="1">
      <c r="A247" s="5">
        <v>12</v>
      </c>
      <c r="B247" s="82" t="s">
        <v>236</v>
      </c>
      <c r="C247" s="83"/>
      <c r="D247" s="84"/>
      <c r="E247" s="6"/>
      <c r="F247" s="7"/>
      <c r="G247" s="1"/>
      <c r="H247" s="3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25.5" customHeight="1">
      <c r="A248" s="5">
        <v>13</v>
      </c>
      <c r="B248" s="82" t="s">
        <v>237</v>
      </c>
      <c r="C248" s="83"/>
      <c r="D248" s="84"/>
      <c r="E248" s="6"/>
      <c r="F248" s="7"/>
      <c r="G248" s="1"/>
      <c r="H248" s="3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25.5" customHeight="1">
      <c r="A249" s="5">
        <v>14</v>
      </c>
      <c r="B249" s="82" t="s">
        <v>238</v>
      </c>
      <c r="C249" s="83"/>
      <c r="D249" s="84"/>
      <c r="E249" s="6"/>
      <c r="F249" s="7"/>
      <c r="G249" s="1"/>
      <c r="H249" s="3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25.5" customHeight="1">
      <c r="A250" s="92" t="s">
        <v>51</v>
      </c>
      <c r="B250" s="83"/>
      <c r="C250" s="83"/>
      <c r="D250" s="83"/>
      <c r="E250" s="87"/>
      <c r="F250" s="9" t="str">
        <f>IF(COUNT(E236:E249)=0,"N/A",SUM((E236:E249))/(COUNT((E236:E249))*2))</f>
        <v>N/A</v>
      </c>
      <c r="G250" s="1"/>
      <c r="H250" s="3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25.5" customHeight="1">
      <c r="A251" s="93" t="s">
        <v>239</v>
      </c>
      <c r="B251" s="83"/>
      <c r="C251" s="83"/>
      <c r="D251" s="83"/>
      <c r="E251" s="83"/>
      <c r="F251" s="86"/>
      <c r="G251" s="1"/>
      <c r="H251" s="3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25.5" customHeight="1">
      <c r="A252" s="5">
        <v>1</v>
      </c>
      <c r="B252" s="91" t="s">
        <v>240</v>
      </c>
      <c r="C252" s="83"/>
      <c r="D252" s="84"/>
      <c r="E252" s="6"/>
      <c r="F252" s="7"/>
      <c r="G252" s="1"/>
      <c r="H252" s="3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25.5" customHeight="1">
      <c r="A253" s="5">
        <v>2</v>
      </c>
      <c r="B253" s="91" t="s">
        <v>241</v>
      </c>
      <c r="C253" s="83"/>
      <c r="D253" s="84"/>
      <c r="E253" s="6"/>
      <c r="F253" s="7"/>
      <c r="G253" s="1"/>
      <c r="H253" s="3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25.5" customHeight="1">
      <c r="A254" s="5">
        <v>3</v>
      </c>
      <c r="B254" s="91" t="s">
        <v>242</v>
      </c>
      <c r="C254" s="83"/>
      <c r="D254" s="84"/>
      <c r="E254" s="6"/>
      <c r="F254" s="7"/>
      <c r="G254" s="1"/>
      <c r="H254" s="3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25.5" customHeight="1">
      <c r="A255" s="5">
        <v>4</v>
      </c>
      <c r="B255" s="91" t="s">
        <v>243</v>
      </c>
      <c r="C255" s="83"/>
      <c r="D255" s="84"/>
      <c r="E255" s="6"/>
      <c r="F255" s="7"/>
      <c r="G255" s="1"/>
      <c r="H255" s="3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25.5" customHeight="1">
      <c r="A256" s="5">
        <v>5</v>
      </c>
      <c r="B256" s="91" t="s">
        <v>244</v>
      </c>
      <c r="C256" s="83"/>
      <c r="D256" s="84"/>
      <c r="E256" s="6"/>
      <c r="F256" s="7"/>
      <c r="G256" s="1"/>
      <c r="H256" s="3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25.5" customHeight="1">
      <c r="A257" s="5">
        <v>6</v>
      </c>
      <c r="B257" s="91" t="s">
        <v>245</v>
      </c>
      <c r="C257" s="83"/>
      <c r="D257" s="84"/>
      <c r="E257" s="6"/>
      <c r="F257" s="7"/>
      <c r="G257" s="1"/>
      <c r="H257" s="3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90.75" customHeight="1">
      <c r="A258" s="5">
        <v>7</v>
      </c>
      <c r="B258" s="91" t="s">
        <v>246</v>
      </c>
      <c r="C258" s="83"/>
      <c r="D258" s="84"/>
      <c r="E258" s="6"/>
      <c r="F258" s="7"/>
      <c r="G258" s="1"/>
      <c r="H258" s="3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25.5" customHeight="1">
      <c r="A259" s="5">
        <v>8</v>
      </c>
      <c r="B259" s="91" t="s">
        <v>247</v>
      </c>
      <c r="C259" s="83"/>
      <c r="D259" s="84"/>
      <c r="E259" s="6"/>
      <c r="F259" s="7"/>
      <c r="G259" s="1"/>
      <c r="H259" s="3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25.5" customHeight="1">
      <c r="A260" s="5">
        <v>9</v>
      </c>
      <c r="B260" s="91" t="s">
        <v>248</v>
      </c>
      <c r="C260" s="83"/>
      <c r="D260" s="84"/>
      <c r="E260" s="6"/>
      <c r="F260" s="7"/>
      <c r="G260" s="1"/>
      <c r="H260" s="3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25.5" customHeight="1">
      <c r="A261" s="5">
        <v>10</v>
      </c>
      <c r="B261" s="91" t="s">
        <v>249</v>
      </c>
      <c r="C261" s="83"/>
      <c r="D261" s="84"/>
      <c r="E261" s="6"/>
      <c r="F261" s="7"/>
      <c r="G261" s="1"/>
      <c r="H261" s="3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25.5" customHeight="1">
      <c r="A262" s="92" t="s">
        <v>51</v>
      </c>
      <c r="B262" s="83"/>
      <c r="C262" s="83"/>
      <c r="D262" s="83"/>
      <c r="E262" s="87"/>
      <c r="F262" s="9" t="str">
        <f>IF(COUNT(E252:E261)=0,"N/A",SUM((E252:E261))/(COUNT((E252:E261))*2))</f>
        <v>N/A</v>
      </c>
      <c r="G262" s="1"/>
      <c r="H262" s="3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25.5" customHeight="1">
      <c r="A263" s="93" t="s">
        <v>250</v>
      </c>
      <c r="B263" s="83"/>
      <c r="C263" s="83"/>
      <c r="D263" s="83"/>
      <c r="E263" s="83"/>
      <c r="F263" s="86"/>
      <c r="G263" s="1"/>
      <c r="H263" s="3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3" customHeight="1">
      <c r="A264" s="5">
        <v>1</v>
      </c>
      <c r="B264" s="152" t="s">
        <v>251</v>
      </c>
      <c r="C264" s="83"/>
      <c r="D264" s="84"/>
      <c r="E264" s="6"/>
      <c r="F264" s="7"/>
      <c r="G264" s="1"/>
      <c r="H264" s="3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25.5" customHeight="1">
      <c r="A265" s="5">
        <v>2</v>
      </c>
      <c r="B265" s="91" t="s">
        <v>252</v>
      </c>
      <c r="C265" s="83"/>
      <c r="D265" s="84"/>
      <c r="E265" s="6"/>
      <c r="F265" s="7"/>
      <c r="G265" s="1"/>
      <c r="H265" s="3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25.5" customHeight="1">
      <c r="A266" s="5">
        <v>3</v>
      </c>
      <c r="B266" s="91" t="s">
        <v>253</v>
      </c>
      <c r="C266" s="83"/>
      <c r="D266" s="84"/>
      <c r="E266" s="6"/>
      <c r="F266" s="7"/>
      <c r="G266" s="1"/>
      <c r="H266" s="3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25.5" customHeight="1">
      <c r="A267" s="5">
        <v>4</v>
      </c>
      <c r="B267" s="91" t="s">
        <v>254</v>
      </c>
      <c r="C267" s="83"/>
      <c r="D267" s="84"/>
      <c r="E267" s="6"/>
      <c r="F267" s="7"/>
      <c r="G267" s="1"/>
      <c r="H267" s="3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25.5" customHeight="1">
      <c r="A268" s="92" t="s">
        <v>94</v>
      </c>
      <c r="B268" s="83"/>
      <c r="C268" s="83"/>
      <c r="D268" s="83"/>
      <c r="E268" s="87"/>
      <c r="F268" s="9" t="str">
        <f>IF(COUNT(E264:E267)=0,"N/A",SUM((E264:E267))/(COUNT((E264:E267))*2))</f>
        <v>N/A</v>
      </c>
      <c r="G268" s="1"/>
      <c r="H268" s="3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25.5" customHeight="1">
      <c r="A269" s="93" t="s">
        <v>255</v>
      </c>
      <c r="B269" s="83"/>
      <c r="C269" s="83"/>
      <c r="D269" s="83"/>
      <c r="E269" s="83"/>
      <c r="F269" s="86"/>
      <c r="G269" s="1"/>
      <c r="H269" s="3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25.5" customHeight="1">
      <c r="A270" s="93" t="s">
        <v>256</v>
      </c>
      <c r="B270" s="83"/>
      <c r="C270" s="83"/>
      <c r="D270" s="83"/>
      <c r="E270" s="83"/>
      <c r="F270" s="86"/>
      <c r="G270" s="1"/>
      <c r="H270" s="3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1.5" customHeight="1">
      <c r="A271" s="5">
        <v>1</v>
      </c>
      <c r="B271" s="91" t="s">
        <v>257</v>
      </c>
      <c r="C271" s="83"/>
      <c r="D271" s="84"/>
      <c r="E271" s="6"/>
      <c r="F271" s="7"/>
      <c r="G271" s="1"/>
      <c r="H271" s="3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49.25" customHeight="1">
      <c r="A272" s="5">
        <v>2</v>
      </c>
      <c r="B272" s="91" t="s">
        <v>258</v>
      </c>
      <c r="C272" s="83"/>
      <c r="D272" s="84"/>
      <c r="E272" s="6"/>
      <c r="F272" s="7"/>
      <c r="G272" s="1"/>
      <c r="H272" s="3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16.25" customHeight="1">
      <c r="A273" s="5">
        <v>3</v>
      </c>
      <c r="B273" s="91" t="s">
        <v>259</v>
      </c>
      <c r="C273" s="83"/>
      <c r="D273" s="84"/>
      <c r="E273" s="6"/>
      <c r="F273" s="7"/>
      <c r="G273" s="1"/>
      <c r="H273" s="3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25.5" customHeight="1">
      <c r="A274" s="5">
        <v>4</v>
      </c>
      <c r="B274" s="91" t="s">
        <v>260</v>
      </c>
      <c r="C274" s="83"/>
      <c r="D274" s="84"/>
      <c r="E274" s="6"/>
      <c r="F274" s="7"/>
      <c r="G274" s="1"/>
      <c r="H274" s="3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25.5" customHeight="1">
      <c r="A275" s="5">
        <v>5</v>
      </c>
      <c r="B275" s="91" t="s">
        <v>261</v>
      </c>
      <c r="C275" s="83"/>
      <c r="D275" s="84"/>
      <c r="E275" s="6"/>
      <c r="F275" s="7"/>
      <c r="G275" s="1"/>
      <c r="H275" s="3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25.5" customHeight="1">
      <c r="A276" s="5">
        <v>6</v>
      </c>
      <c r="B276" s="91" t="s">
        <v>262</v>
      </c>
      <c r="C276" s="83"/>
      <c r="D276" s="84"/>
      <c r="E276" s="6"/>
      <c r="F276" s="7"/>
      <c r="G276" s="1"/>
      <c r="H276" s="3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25.5" customHeight="1">
      <c r="A277" s="5">
        <v>7</v>
      </c>
      <c r="B277" s="91" t="s">
        <v>263</v>
      </c>
      <c r="C277" s="83"/>
      <c r="D277" s="84"/>
      <c r="E277" s="6"/>
      <c r="F277" s="7"/>
      <c r="G277" s="1"/>
      <c r="H277" s="3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25.5" customHeight="1">
      <c r="A278" s="5">
        <v>8</v>
      </c>
      <c r="B278" s="91" t="s">
        <v>264</v>
      </c>
      <c r="C278" s="83"/>
      <c r="D278" s="84"/>
      <c r="E278" s="6"/>
      <c r="F278" s="7"/>
      <c r="G278" s="1"/>
      <c r="H278" s="3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25.5" customHeight="1">
      <c r="A279" s="5">
        <v>9</v>
      </c>
      <c r="B279" s="91" t="s">
        <v>265</v>
      </c>
      <c r="C279" s="83"/>
      <c r="D279" s="84"/>
      <c r="E279" s="6"/>
      <c r="F279" s="7"/>
      <c r="G279" s="1"/>
      <c r="H279" s="3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25.5" customHeight="1">
      <c r="A280" s="5">
        <v>10</v>
      </c>
      <c r="B280" s="91" t="s">
        <v>266</v>
      </c>
      <c r="C280" s="83"/>
      <c r="D280" s="84"/>
      <c r="E280" s="6"/>
      <c r="F280" s="7"/>
      <c r="G280" s="1"/>
      <c r="H280" s="3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01.25" customHeight="1">
      <c r="A281" s="5">
        <v>11</v>
      </c>
      <c r="B281" s="151" t="s">
        <v>267</v>
      </c>
      <c r="C281" s="83"/>
      <c r="D281" s="84"/>
      <c r="E281" s="6"/>
      <c r="F281" s="7"/>
      <c r="G281" s="1"/>
      <c r="H281" s="3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43.5" customHeight="1">
      <c r="A282" s="5">
        <v>12</v>
      </c>
      <c r="B282" s="91" t="s">
        <v>268</v>
      </c>
      <c r="C282" s="83"/>
      <c r="D282" s="84"/>
      <c r="E282" s="6"/>
      <c r="F282" s="7"/>
      <c r="G282" s="1"/>
      <c r="H282" s="3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25.5" customHeight="1">
      <c r="A283" s="5">
        <v>13</v>
      </c>
      <c r="B283" s="91" t="s">
        <v>269</v>
      </c>
      <c r="C283" s="83"/>
      <c r="D283" s="84"/>
      <c r="E283" s="6"/>
      <c r="F283" s="7"/>
      <c r="G283" s="1"/>
      <c r="H283" s="3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25.5" customHeight="1">
      <c r="A284" s="93" t="s">
        <v>270</v>
      </c>
      <c r="B284" s="83"/>
      <c r="C284" s="83"/>
      <c r="D284" s="83"/>
      <c r="E284" s="83"/>
      <c r="F284" s="86"/>
      <c r="G284" s="1"/>
      <c r="H284" s="3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25.5" customHeight="1">
      <c r="A285" s="5">
        <v>14</v>
      </c>
      <c r="B285" s="91" t="s">
        <v>271</v>
      </c>
      <c r="C285" s="83"/>
      <c r="D285" s="84"/>
      <c r="E285" s="6"/>
      <c r="F285" s="7"/>
      <c r="G285" s="1"/>
      <c r="H285" s="3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25.5" customHeight="1">
      <c r="A286" s="5">
        <v>15</v>
      </c>
      <c r="B286" s="91" t="s">
        <v>272</v>
      </c>
      <c r="C286" s="83"/>
      <c r="D286" s="84"/>
      <c r="E286" s="6"/>
      <c r="F286" s="7"/>
      <c r="G286" s="1"/>
      <c r="H286" s="3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90" customHeight="1">
      <c r="A287" s="5">
        <v>16</v>
      </c>
      <c r="B287" s="91" t="s">
        <v>273</v>
      </c>
      <c r="C287" s="83"/>
      <c r="D287" s="84"/>
      <c r="E287" s="6"/>
      <c r="F287" s="7"/>
      <c r="G287" s="1"/>
      <c r="H287" s="3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02" customHeight="1">
      <c r="A288" s="5">
        <v>17</v>
      </c>
      <c r="B288" s="91" t="s">
        <v>274</v>
      </c>
      <c r="C288" s="83"/>
      <c r="D288" s="84"/>
      <c r="E288" s="6"/>
      <c r="F288" s="7"/>
      <c r="G288" s="1"/>
      <c r="H288" s="3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25.5" customHeight="1">
      <c r="A289" s="5">
        <v>18</v>
      </c>
      <c r="B289" s="91" t="s">
        <v>275</v>
      </c>
      <c r="C289" s="83"/>
      <c r="D289" s="84"/>
      <c r="E289" s="6"/>
      <c r="F289" s="7"/>
      <c r="G289" s="1"/>
      <c r="H289" s="3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25.5" customHeight="1">
      <c r="A290" s="5">
        <v>19</v>
      </c>
      <c r="B290" s="91" t="s">
        <v>276</v>
      </c>
      <c r="C290" s="83"/>
      <c r="D290" s="84"/>
      <c r="E290" s="6"/>
      <c r="F290" s="7"/>
      <c r="G290" s="1"/>
      <c r="H290" s="3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25.5" customHeight="1">
      <c r="A291" s="92" t="s">
        <v>51</v>
      </c>
      <c r="B291" s="83"/>
      <c r="C291" s="83"/>
      <c r="D291" s="83"/>
      <c r="E291" s="87"/>
      <c r="F291" s="9" t="str">
        <f>IF(COUNT(E271:E290)=0,"N/A",SUM((E271:E290))/(COUNT((E271:E290))*2))</f>
        <v>N/A</v>
      </c>
      <c r="G291" s="1"/>
      <c r="H291" s="3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25.5" customHeight="1">
      <c r="A292" s="93" t="s">
        <v>277</v>
      </c>
      <c r="B292" s="83"/>
      <c r="C292" s="83"/>
      <c r="D292" s="83"/>
      <c r="E292" s="83"/>
      <c r="F292" s="86"/>
      <c r="G292" s="1"/>
      <c r="H292" s="3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54" customHeight="1">
      <c r="A293" s="5">
        <v>1</v>
      </c>
      <c r="B293" s="91" t="s">
        <v>278</v>
      </c>
      <c r="C293" s="83"/>
      <c r="D293" s="84"/>
      <c r="E293" s="6"/>
      <c r="F293" s="7"/>
      <c r="G293" s="1"/>
      <c r="H293" s="3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25.5" customHeight="1">
      <c r="A294" s="5">
        <v>2</v>
      </c>
      <c r="B294" s="91" t="s">
        <v>279</v>
      </c>
      <c r="C294" s="83"/>
      <c r="D294" s="84"/>
      <c r="E294" s="6"/>
      <c r="F294" s="7"/>
      <c r="G294" s="1"/>
      <c r="H294" s="3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25.5" customHeight="1">
      <c r="A295" s="5">
        <v>3</v>
      </c>
      <c r="B295" s="91" t="s">
        <v>280</v>
      </c>
      <c r="C295" s="83"/>
      <c r="D295" s="84"/>
      <c r="E295" s="6"/>
      <c r="F295" s="7"/>
      <c r="G295" s="1"/>
      <c r="H295" s="3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04.25" customHeight="1">
      <c r="A296" s="5">
        <v>4</v>
      </c>
      <c r="B296" s="91" t="s">
        <v>281</v>
      </c>
      <c r="C296" s="83"/>
      <c r="D296" s="84"/>
      <c r="E296" s="6"/>
      <c r="F296" s="7"/>
      <c r="G296" s="1"/>
      <c r="H296" s="3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25.5" customHeight="1">
      <c r="A297" s="93" t="s">
        <v>282</v>
      </c>
      <c r="B297" s="83"/>
      <c r="C297" s="83"/>
      <c r="D297" s="83"/>
      <c r="E297" s="83"/>
      <c r="F297" s="86"/>
      <c r="G297" s="1"/>
      <c r="H297" s="3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55.5" customHeight="1">
      <c r="A298" s="5">
        <v>5</v>
      </c>
      <c r="B298" s="91" t="s">
        <v>283</v>
      </c>
      <c r="C298" s="83"/>
      <c r="D298" s="84"/>
      <c r="E298" s="6"/>
      <c r="F298" s="7"/>
      <c r="G298" s="1"/>
      <c r="H298" s="3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4.25" customHeight="1">
      <c r="A299" s="5">
        <v>6</v>
      </c>
      <c r="B299" s="91" t="s">
        <v>284</v>
      </c>
      <c r="C299" s="83"/>
      <c r="D299" s="84"/>
      <c r="E299" s="6"/>
      <c r="F299" s="7"/>
      <c r="G299" s="1"/>
      <c r="H299" s="3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25.5" customHeight="1">
      <c r="A300" s="93" t="s">
        <v>285</v>
      </c>
      <c r="B300" s="83"/>
      <c r="C300" s="83"/>
      <c r="D300" s="83"/>
      <c r="E300" s="83"/>
      <c r="F300" s="86"/>
      <c r="G300" s="1"/>
      <c r="H300" s="3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25.5" customHeight="1">
      <c r="A301" s="5">
        <v>7</v>
      </c>
      <c r="B301" s="91" t="s">
        <v>286</v>
      </c>
      <c r="C301" s="83"/>
      <c r="D301" s="84"/>
      <c r="E301" s="6"/>
      <c r="F301" s="7"/>
      <c r="G301" s="1"/>
      <c r="H301" s="3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25.5" customHeight="1">
      <c r="A302" s="5">
        <v>8</v>
      </c>
      <c r="B302" s="91" t="s">
        <v>287</v>
      </c>
      <c r="C302" s="83"/>
      <c r="D302" s="84"/>
      <c r="E302" s="6"/>
      <c r="F302" s="7"/>
      <c r="G302" s="1"/>
      <c r="H302" s="3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95.25" customHeight="1">
      <c r="A303" s="5">
        <v>9</v>
      </c>
      <c r="B303" s="91" t="s">
        <v>288</v>
      </c>
      <c r="C303" s="83"/>
      <c r="D303" s="84"/>
      <c r="E303" s="6"/>
      <c r="F303" s="7"/>
      <c r="G303" s="1"/>
      <c r="H303" s="3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25.5" customHeight="1">
      <c r="A304" s="5">
        <v>10</v>
      </c>
      <c r="B304" s="91" t="s">
        <v>289</v>
      </c>
      <c r="C304" s="83"/>
      <c r="D304" s="84"/>
      <c r="E304" s="6"/>
      <c r="F304" s="7"/>
      <c r="G304" s="1"/>
      <c r="H304" s="3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25.5" customHeight="1">
      <c r="A305" s="5">
        <v>11</v>
      </c>
      <c r="B305" s="91" t="s">
        <v>290</v>
      </c>
      <c r="C305" s="83"/>
      <c r="D305" s="84"/>
      <c r="E305" s="6"/>
      <c r="F305" s="7"/>
      <c r="G305" s="1"/>
      <c r="H305" s="3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25.5" customHeight="1">
      <c r="A306" s="93" t="s">
        <v>291</v>
      </c>
      <c r="B306" s="83"/>
      <c r="C306" s="83"/>
      <c r="D306" s="83"/>
      <c r="E306" s="83"/>
      <c r="F306" s="86"/>
      <c r="G306" s="1"/>
      <c r="H306" s="3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6" customHeight="1">
      <c r="A307" s="5">
        <v>12</v>
      </c>
      <c r="B307" s="91" t="s">
        <v>292</v>
      </c>
      <c r="C307" s="83"/>
      <c r="D307" s="84"/>
      <c r="E307" s="6"/>
      <c r="F307" s="7"/>
      <c r="G307" s="1"/>
      <c r="H307" s="3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25.5" customHeight="1">
      <c r="A308" s="5">
        <v>13</v>
      </c>
      <c r="B308" s="91" t="s">
        <v>293</v>
      </c>
      <c r="C308" s="83"/>
      <c r="D308" s="84"/>
      <c r="E308" s="6"/>
      <c r="F308" s="7"/>
      <c r="G308" s="1"/>
      <c r="H308" s="3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25.5" customHeight="1">
      <c r="A309" s="5">
        <v>14</v>
      </c>
      <c r="B309" s="91" t="s">
        <v>294</v>
      </c>
      <c r="C309" s="83"/>
      <c r="D309" s="84"/>
      <c r="E309" s="6"/>
      <c r="F309" s="7"/>
      <c r="G309" s="1"/>
      <c r="H309" s="3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25.5" customHeight="1">
      <c r="A310" s="5">
        <v>15</v>
      </c>
      <c r="B310" s="91" t="s">
        <v>295</v>
      </c>
      <c r="C310" s="83"/>
      <c r="D310" s="84"/>
      <c r="E310" s="6"/>
      <c r="F310" s="7"/>
      <c r="G310" s="1"/>
      <c r="H310" s="3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25.5" customHeight="1">
      <c r="A311" s="5">
        <v>16</v>
      </c>
      <c r="B311" s="91" t="s">
        <v>296</v>
      </c>
      <c r="C311" s="83"/>
      <c r="D311" s="84"/>
      <c r="E311" s="6"/>
      <c r="F311" s="7"/>
      <c r="G311" s="1"/>
      <c r="H311" s="3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25.5" customHeight="1">
      <c r="A312" s="5">
        <v>17</v>
      </c>
      <c r="B312" s="91" t="s">
        <v>297</v>
      </c>
      <c r="C312" s="83"/>
      <c r="D312" s="84"/>
      <c r="E312" s="6"/>
      <c r="F312" s="7"/>
      <c r="G312" s="1"/>
      <c r="H312" s="3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25.5" customHeight="1">
      <c r="A313" s="5">
        <v>18</v>
      </c>
      <c r="B313" s="91" t="s">
        <v>298</v>
      </c>
      <c r="C313" s="83"/>
      <c r="D313" s="84"/>
      <c r="E313" s="6"/>
      <c r="F313" s="7"/>
      <c r="G313" s="1"/>
      <c r="H313" s="3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25.5" customHeight="1">
      <c r="A314" s="5">
        <v>19</v>
      </c>
      <c r="B314" s="91" t="s">
        <v>299</v>
      </c>
      <c r="C314" s="83"/>
      <c r="D314" s="84"/>
      <c r="E314" s="6"/>
      <c r="F314" s="7"/>
      <c r="G314" s="1"/>
      <c r="H314" s="3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25.5" customHeight="1">
      <c r="A315" s="5">
        <v>20</v>
      </c>
      <c r="B315" s="91" t="s">
        <v>300</v>
      </c>
      <c r="C315" s="83"/>
      <c r="D315" s="84"/>
      <c r="E315" s="6"/>
      <c r="F315" s="7"/>
      <c r="G315" s="1"/>
      <c r="H315" s="3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25.5" customHeight="1">
      <c r="A316" s="5">
        <v>21</v>
      </c>
      <c r="B316" s="91" t="s">
        <v>301</v>
      </c>
      <c r="C316" s="83"/>
      <c r="D316" s="84"/>
      <c r="E316" s="6"/>
      <c r="F316" s="7"/>
      <c r="G316" s="1"/>
      <c r="H316" s="3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25.5" customHeight="1">
      <c r="A317" s="5">
        <v>22</v>
      </c>
      <c r="B317" s="91" t="s">
        <v>302</v>
      </c>
      <c r="C317" s="83"/>
      <c r="D317" s="84"/>
      <c r="E317" s="6"/>
      <c r="F317" s="7"/>
      <c r="G317" s="1"/>
      <c r="H317" s="3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25.5" customHeight="1">
      <c r="A318" s="5">
        <v>23</v>
      </c>
      <c r="B318" s="91" t="s">
        <v>303</v>
      </c>
      <c r="C318" s="83"/>
      <c r="D318" s="84"/>
      <c r="E318" s="6"/>
      <c r="F318" s="7"/>
      <c r="G318" s="1"/>
      <c r="H318" s="3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25.5" customHeight="1">
      <c r="A319" s="5">
        <v>24</v>
      </c>
      <c r="B319" s="91" t="s">
        <v>304</v>
      </c>
      <c r="C319" s="83"/>
      <c r="D319" s="84"/>
      <c r="E319" s="6"/>
      <c r="F319" s="7"/>
      <c r="G319" s="1"/>
      <c r="H319" s="3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25.5" customHeight="1">
      <c r="A320" s="92" t="s">
        <v>51</v>
      </c>
      <c r="B320" s="83"/>
      <c r="C320" s="83"/>
      <c r="D320" s="83"/>
      <c r="E320" s="87"/>
      <c r="F320" s="9" t="str">
        <f>IF(COUNT(E293:E319)=0,"N/A",SUM((E293:E319))/(COUNT((E293:E319))*2))</f>
        <v>N/A</v>
      </c>
      <c r="G320" s="1"/>
      <c r="H320" s="3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25.5" customHeight="1">
      <c r="A321" s="93" t="s">
        <v>305</v>
      </c>
      <c r="B321" s="83"/>
      <c r="C321" s="83"/>
      <c r="D321" s="83"/>
      <c r="E321" s="83"/>
      <c r="F321" s="86"/>
      <c r="G321" s="1"/>
      <c r="H321" s="3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25.5" customHeight="1">
      <c r="A322" s="5">
        <v>1</v>
      </c>
      <c r="B322" s="91" t="s">
        <v>306</v>
      </c>
      <c r="C322" s="83"/>
      <c r="D322" s="84"/>
      <c r="E322" s="6"/>
      <c r="F322" s="7"/>
      <c r="G322" s="1"/>
      <c r="H322" s="3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25.5" customHeight="1">
      <c r="A323" s="5">
        <v>2</v>
      </c>
      <c r="B323" s="91" t="s">
        <v>307</v>
      </c>
      <c r="C323" s="83"/>
      <c r="D323" s="84"/>
      <c r="E323" s="6"/>
      <c r="F323" s="7"/>
      <c r="G323" s="1"/>
      <c r="H323" s="3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25.5" customHeight="1">
      <c r="A324" s="5">
        <v>3</v>
      </c>
      <c r="B324" s="91" t="s">
        <v>308</v>
      </c>
      <c r="C324" s="83"/>
      <c r="D324" s="84"/>
      <c r="E324" s="6"/>
      <c r="F324" s="7"/>
      <c r="G324" s="1"/>
      <c r="H324" s="3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44.25" customHeight="1">
      <c r="A325" s="5">
        <v>4</v>
      </c>
      <c r="B325" s="91" t="s">
        <v>309</v>
      </c>
      <c r="C325" s="83"/>
      <c r="D325" s="84"/>
      <c r="E325" s="6"/>
      <c r="F325" s="7"/>
      <c r="G325" s="1"/>
      <c r="H325" s="3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25.5" customHeight="1">
      <c r="A326" s="5">
        <v>5</v>
      </c>
      <c r="B326" s="91" t="s">
        <v>310</v>
      </c>
      <c r="C326" s="83"/>
      <c r="D326" s="84"/>
      <c r="E326" s="6"/>
      <c r="F326" s="7"/>
      <c r="G326" s="1"/>
      <c r="H326" s="3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25.5" customHeight="1">
      <c r="A327" s="5">
        <v>6</v>
      </c>
      <c r="B327" s="91" t="s">
        <v>311</v>
      </c>
      <c r="C327" s="83"/>
      <c r="D327" s="84"/>
      <c r="E327" s="6"/>
      <c r="F327" s="7"/>
      <c r="G327" s="1"/>
      <c r="H327" s="3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25.5" customHeight="1">
      <c r="A328" s="5">
        <v>7</v>
      </c>
      <c r="B328" s="91" t="s">
        <v>312</v>
      </c>
      <c r="C328" s="83"/>
      <c r="D328" s="84"/>
      <c r="E328" s="6"/>
      <c r="F328" s="7"/>
      <c r="G328" s="1"/>
      <c r="H328" s="3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25.5" customHeight="1">
      <c r="A329" s="5">
        <v>8</v>
      </c>
      <c r="B329" s="91" t="s">
        <v>313</v>
      </c>
      <c r="C329" s="83"/>
      <c r="D329" s="84"/>
      <c r="E329" s="6"/>
      <c r="F329" s="7"/>
      <c r="G329" s="1"/>
      <c r="H329" s="3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48" customHeight="1">
      <c r="A330" s="5">
        <v>9</v>
      </c>
      <c r="B330" s="91" t="s">
        <v>314</v>
      </c>
      <c r="C330" s="83"/>
      <c r="D330" s="84"/>
      <c r="E330" s="6"/>
      <c r="F330" s="7"/>
      <c r="G330" s="1"/>
      <c r="H330" s="3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25.5" customHeight="1">
      <c r="A331" s="5">
        <v>10</v>
      </c>
      <c r="B331" s="91" t="s">
        <v>315</v>
      </c>
      <c r="C331" s="83"/>
      <c r="D331" s="84"/>
      <c r="E331" s="6"/>
      <c r="F331" s="7"/>
      <c r="G331" s="1"/>
      <c r="H331" s="3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25.5" customHeight="1">
      <c r="A332" s="5">
        <v>11</v>
      </c>
      <c r="B332" s="91" t="s">
        <v>316</v>
      </c>
      <c r="C332" s="83"/>
      <c r="D332" s="84"/>
      <c r="E332" s="6"/>
      <c r="F332" s="7"/>
      <c r="G332" s="1"/>
      <c r="H332" s="3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59.25" customHeight="1">
      <c r="A333" s="5">
        <v>12</v>
      </c>
      <c r="B333" s="91" t="s">
        <v>317</v>
      </c>
      <c r="C333" s="83"/>
      <c r="D333" s="84"/>
      <c r="E333" s="6"/>
      <c r="F333" s="7"/>
      <c r="G333" s="1"/>
      <c r="H333" s="3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25.5" customHeight="1">
      <c r="A334" s="5">
        <v>13</v>
      </c>
      <c r="B334" s="91" t="s">
        <v>318</v>
      </c>
      <c r="C334" s="83"/>
      <c r="D334" s="84"/>
      <c r="E334" s="6"/>
      <c r="F334" s="7"/>
      <c r="G334" s="1"/>
      <c r="H334" s="3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99.75" customHeight="1">
      <c r="A335" s="5">
        <v>14</v>
      </c>
      <c r="B335" s="91" t="s">
        <v>319</v>
      </c>
      <c r="C335" s="83"/>
      <c r="D335" s="84"/>
      <c r="E335" s="6"/>
      <c r="F335" s="7"/>
      <c r="G335" s="1"/>
      <c r="H335" s="3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39" customHeight="1">
      <c r="A336" s="5">
        <v>15</v>
      </c>
      <c r="B336" s="91" t="s">
        <v>320</v>
      </c>
      <c r="C336" s="83"/>
      <c r="D336" s="84"/>
      <c r="E336" s="6"/>
      <c r="F336" s="7"/>
      <c r="G336" s="1"/>
      <c r="H336" s="3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02.75" customHeight="1">
      <c r="A337" s="5">
        <v>16</v>
      </c>
      <c r="B337" s="91" t="s">
        <v>321</v>
      </c>
      <c r="C337" s="83"/>
      <c r="D337" s="84"/>
      <c r="E337" s="6"/>
      <c r="F337" s="7"/>
      <c r="G337" s="1"/>
      <c r="H337" s="3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39" customHeight="1">
      <c r="A338" s="5">
        <v>17</v>
      </c>
      <c r="B338" s="91" t="s">
        <v>322</v>
      </c>
      <c r="C338" s="83"/>
      <c r="D338" s="84"/>
      <c r="E338" s="6"/>
      <c r="F338" s="7"/>
      <c r="G338" s="1"/>
      <c r="H338" s="3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25.5" customHeight="1">
      <c r="A339" s="5">
        <v>18</v>
      </c>
      <c r="B339" s="91" t="s">
        <v>323</v>
      </c>
      <c r="C339" s="83"/>
      <c r="D339" s="84"/>
      <c r="E339" s="6"/>
      <c r="F339" s="7"/>
      <c r="G339" s="1"/>
      <c r="H339" s="3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25.5" customHeight="1">
      <c r="A340" s="5">
        <v>19</v>
      </c>
      <c r="B340" s="91" t="s">
        <v>324</v>
      </c>
      <c r="C340" s="83"/>
      <c r="D340" s="84"/>
      <c r="E340" s="6"/>
      <c r="F340" s="7"/>
      <c r="G340" s="1"/>
      <c r="H340" s="3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25.5" customHeight="1">
      <c r="A341" s="5">
        <v>20</v>
      </c>
      <c r="B341" s="91" t="s">
        <v>325</v>
      </c>
      <c r="C341" s="83"/>
      <c r="D341" s="84"/>
      <c r="E341" s="6"/>
      <c r="F341" s="7"/>
      <c r="G341" s="1"/>
      <c r="H341" s="3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25.5" customHeight="1">
      <c r="A342" s="5">
        <v>21</v>
      </c>
      <c r="B342" s="91" t="s">
        <v>326</v>
      </c>
      <c r="C342" s="83"/>
      <c r="D342" s="84"/>
      <c r="E342" s="6"/>
      <c r="F342" s="7"/>
      <c r="G342" s="1"/>
      <c r="H342" s="3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25.5" customHeight="1">
      <c r="A343" s="5">
        <v>22</v>
      </c>
      <c r="B343" s="91" t="s">
        <v>327</v>
      </c>
      <c r="C343" s="83"/>
      <c r="D343" s="84"/>
      <c r="E343" s="6"/>
      <c r="F343" s="7"/>
      <c r="G343" s="1"/>
      <c r="H343" s="3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39" customHeight="1">
      <c r="A344" s="5">
        <v>23</v>
      </c>
      <c r="B344" s="91" t="s">
        <v>328</v>
      </c>
      <c r="C344" s="83"/>
      <c r="D344" s="84"/>
      <c r="E344" s="6"/>
      <c r="F344" s="7"/>
      <c r="G344" s="1"/>
      <c r="H344" s="3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25.5" customHeight="1">
      <c r="A345" s="92" t="s">
        <v>51</v>
      </c>
      <c r="B345" s="83"/>
      <c r="C345" s="83"/>
      <c r="D345" s="83"/>
      <c r="E345" s="87"/>
      <c r="F345" s="9" t="str">
        <f>IF(COUNT(E322:E344)=0,"N/A",SUM((E322:E344))/(COUNT((E322:E344))*2))</f>
        <v>N/A</v>
      </c>
      <c r="G345" s="1"/>
      <c r="H345" s="3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25.5" customHeight="1">
      <c r="A346" s="93" t="s">
        <v>329</v>
      </c>
      <c r="B346" s="83"/>
      <c r="C346" s="83"/>
      <c r="D346" s="83"/>
      <c r="E346" s="83"/>
      <c r="F346" s="86"/>
      <c r="G346" s="1"/>
      <c r="H346" s="3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72.75" customHeight="1">
      <c r="A347" s="5">
        <v>1</v>
      </c>
      <c r="B347" s="91" t="s">
        <v>330</v>
      </c>
      <c r="C347" s="83"/>
      <c r="D347" s="84"/>
      <c r="E347" s="6"/>
      <c r="F347" s="7"/>
      <c r="G347" s="1"/>
      <c r="H347" s="3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25.5" customHeight="1">
      <c r="A348" s="5">
        <v>2</v>
      </c>
      <c r="B348" s="91" t="s">
        <v>331</v>
      </c>
      <c r="C348" s="83"/>
      <c r="D348" s="84"/>
      <c r="E348" s="6"/>
      <c r="F348" s="7"/>
      <c r="G348" s="1"/>
      <c r="H348" s="3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25.5" customHeight="1">
      <c r="A349" s="5">
        <v>3</v>
      </c>
      <c r="B349" s="91" t="s">
        <v>332</v>
      </c>
      <c r="C349" s="83"/>
      <c r="D349" s="84"/>
      <c r="E349" s="6"/>
      <c r="F349" s="7"/>
      <c r="G349" s="1"/>
      <c r="H349" s="3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25.5" customHeight="1">
      <c r="A350" s="5">
        <v>4</v>
      </c>
      <c r="B350" s="91" t="s">
        <v>333</v>
      </c>
      <c r="C350" s="83"/>
      <c r="D350" s="84"/>
      <c r="E350" s="6"/>
      <c r="F350" s="7"/>
      <c r="G350" s="1"/>
      <c r="H350" s="3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25.5" customHeight="1">
      <c r="A351" s="5">
        <v>5</v>
      </c>
      <c r="B351" s="91" t="s">
        <v>334</v>
      </c>
      <c r="C351" s="83"/>
      <c r="D351" s="84"/>
      <c r="E351" s="6"/>
      <c r="F351" s="7"/>
      <c r="G351" s="1"/>
      <c r="H351" s="3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25.5" customHeight="1">
      <c r="A352" s="92" t="s">
        <v>51</v>
      </c>
      <c r="B352" s="83"/>
      <c r="C352" s="83"/>
      <c r="D352" s="83"/>
      <c r="E352" s="87"/>
      <c r="F352" s="9" t="str">
        <f>IF(COUNT(E347:E351)=0,"N/A",SUM((E347:E351))/(COUNT((E347:E351))*2))</f>
        <v>N/A</v>
      </c>
      <c r="G352" s="1"/>
      <c r="H352" s="3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25.5" customHeight="1">
      <c r="A353" s="93" t="s">
        <v>335</v>
      </c>
      <c r="B353" s="83"/>
      <c r="C353" s="83"/>
      <c r="D353" s="83"/>
      <c r="E353" s="83"/>
      <c r="F353" s="86"/>
      <c r="G353" s="1"/>
      <c r="H353" s="3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25.5" customHeight="1">
      <c r="A354" s="93" t="s">
        <v>336</v>
      </c>
      <c r="B354" s="83"/>
      <c r="C354" s="83"/>
      <c r="D354" s="83"/>
      <c r="E354" s="83"/>
      <c r="F354" s="86"/>
      <c r="G354" s="1"/>
      <c r="H354" s="3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71" customHeight="1">
      <c r="A355" s="5">
        <v>1</v>
      </c>
      <c r="B355" s="91" t="s">
        <v>337</v>
      </c>
      <c r="C355" s="83"/>
      <c r="D355" s="84"/>
      <c r="E355" s="6"/>
      <c r="F355" s="7"/>
      <c r="G355" s="1"/>
      <c r="H355" s="3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25.5" customHeight="1">
      <c r="A356" s="5">
        <v>2</v>
      </c>
      <c r="B356" s="91" t="s">
        <v>338</v>
      </c>
      <c r="C356" s="83"/>
      <c r="D356" s="84"/>
      <c r="E356" s="6"/>
      <c r="F356" s="7"/>
      <c r="G356" s="1"/>
      <c r="H356" s="3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41.25" customHeight="1">
      <c r="A357" s="5">
        <v>3</v>
      </c>
      <c r="B357" s="91" t="s">
        <v>339</v>
      </c>
      <c r="C357" s="83"/>
      <c r="D357" s="84"/>
      <c r="E357" s="6"/>
      <c r="F357" s="7"/>
      <c r="G357" s="1"/>
      <c r="H357" s="3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41.25" customHeight="1">
      <c r="A358" s="5">
        <v>4</v>
      </c>
      <c r="B358" s="91" t="s">
        <v>340</v>
      </c>
      <c r="C358" s="83"/>
      <c r="D358" s="84"/>
      <c r="E358" s="6"/>
      <c r="F358" s="7"/>
      <c r="G358" s="1"/>
      <c r="H358" s="3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205.5" customHeight="1">
      <c r="A359" s="5">
        <v>5</v>
      </c>
      <c r="B359" s="91" t="s">
        <v>341</v>
      </c>
      <c r="C359" s="83"/>
      <c r="D359" s="84"/>
      <c r="E359" s="6"/>
      <c r="F359" s="7"/>
      <c r="G359" s="1"/>
      <c r="H359" s="3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78" customHeight="1">
      <c r="A360" s="5">
        <v>6</v>
      </c>
      <c r="B360" s="91" t="s">
        <v>342</v>
      </c>
      <c r="C360" s="83"/>
      <c r="D360" s="84"/>
      <c r="E360" s="6"/>
      <c r="F360" s="7"/>
      <c r="G360" s="1"/>
      <c r="H360" s="3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25.5" customHeight="1">
      <c r="A361" s="5">
        <v>7</v>
      </c>
      <c r="B361" s="91" t="s">
        <v>343</v>
      </c>
      <c r="C361" s="83"/>
      <c r="D361" s="84"/>
      <c r="E361" s="6"/>
      <c r="F361" s="7"/>
      <c r="G361" s="1"/>
      <c r="H361" s="3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25.5" customHeight="1">
      <c r="A362" s="5">
        <v>8</v>
      </c>
      <c r="B362" s="91" t="s">
        <v>344</v>
      </c>
      <c r="C362" s="83"/>
      <c r="D362" s="84"/>
      <c r="E362" s="6"/>
      <c r="F362" s="7"/>
      <c r="G362" s="1"/>
      <c r="H362" s="3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25.5" customHeight="1">
      <c r="A363" s="5">
        <v>9</v>
      </c>
      <c r="B363" s="91" t="s">
        <v>345</v>
      </c>
      <c r="C363" s="83"/>
      <c r="D363" s="84"/>
      <c r="E363" s="6"/>
      <c r="F363" s="7"/>
      <c r="G363" s="1"/>
      <c r="H363" s="3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25.5" customHeight="1">
      <c r="A364" s="5">
        <v>10</v>
      </c>
      <c r="B364" s="91" t="s">
        <v>346</v>
      </c>
      <c r="C364" s="83"/>
      <c r="D364" s="84"/>
      <c r="E364" s="6"/>
      <c r="F364" s="7"/>
      <c r="G364" s="1"/>
      <c r="H364" s="3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25.5" customHeight="1">
      <c r="A365" s="5">
        <v>11</v>
      </c>
      <c r="B365" s="91" t="s">
        <v>347</v>
      </c>
      <c r="C365" s="83"/>
      <c r="D365" s="84"/>
      <c r="E365" s="6"/>
      <c r="F365" s="7"/>
      <c r="G365" s="1"/>
      <c r="H365" s="3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25.5" customHeight="1">
      <c r="A366" s="5">
        <v>12</v>
      </c>
      <c r="B366" s="91" t="s">
        <v>348</v>
      </c>
      <c r="C366" s="83"/>
      <c r="D366" s="84"/>
      <c r="E366" s="6"/>
      <c r="F366" s="7"/>
      <c r="G366" s="1"/>
      <c r="H366" s="3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25.5" customHeight="1">
      <c r="A367" s="92" t="s">
        <v>51</v>
      </c>
      <c r="B367" s="83"/>
      <c r="C367" s="83"/>
      <c r="D367" s="83"/>
      <c r="E367" s="87"/>
      <c r="F367" s="9" t="str">
        <f>IF(COUNT(E355:E366)=0,"N/A",SUM((E355:E366))/(COUNT((E355:E366))*2))</f>
        <v>N/A</v>
      </c>
      <c r="G367" s="1"/>
      <c r="H367" s="3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25.5" customHeight="1">
      <c r="A368" s="93" t="s">
        <v>349</v>
      </c>
      <c r="B368" s="83"/>
      <c r="C368" s="83"/>
      <c r="D368" s="83"/>
      <c r="E368" s="83"/>
      <c r="F368" s="86"/>
      <c r="G368" s="1"/>
      <c r="H368" s="3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25.5" customHeight="1">
      <c r="A369" s="5">
        <v>1</v>
      </c>
      <c r="B369" s="91" t="s">
        <v>350</v>
      </c>
      <c r="C369" s="83"/>
      <c r="D369" s="84"/>
      <c r="E369" s="6"/>
      <c r="F369" s="7"/>
      <c r="G369" s="1"/>
      <c r="H369" s="3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25.5" customHeight="1">
      <c r="A370" s="5">
        <v>2</v>
      </c>
      <c r="B370" s="91" t="s">
        <v>351</v>
      </c>
      <c r="C370" s="83"/>
      <c r="D370" s="84"/>
      <c r="E370" s="6"/>
      <c r="F370" s="7"/>
      <c r="G370" s="1"/>
      <c r="H370" s="3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25.5" customHeight="1">
      <c r="A371" s="5">
        <v>3</v>
      </c>
      <c r="B371" s="91" t="s">
        <v>352</v>
      </c>
      <c r="C371" s="83"/>
      <c r="D371" s="84"/>
      <c r="E371" s="6"/>
      <c r="F371" s="7"/>
      <c r="G371" s="1"/>
      <c r="H371" s="3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25.5" customHeight="1">
      <c r="A372" s="5">
        <v>4</v>
      </c>
      <c r="B372" s="91" t="s">
        <v>353</v>
      </c>
      <c r="C372" s="83"/>
      <c r="D372" s="84"/>
      <c r="E372" s="6"/>
      <c r="F372" s="7"/>
      <c r="G372" s="1"/>
      <c r="H372" s="3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25.5" customHeight="1">
      <c r="A373" s="5">
        <v>5</v>
      </c>
      <c r="B373" s="91" t="s">
        <v>354</v>
      </c>
      <c r="C373" s="83"/>
      <c r="D373" s="84"/>
      <c r="E373" s="6"/>
      <c r="F373" s="7"/>
      <c r="G373" s="1"/>
      <c r="H373" s="3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25.5" customHeight="1">
      <c r="A374" s="5">
        <v>6</v>
      </c>
      <c r="B374" s="91" t="s">
        <v>355</v>
      </c>
      <c r="C374" s="83"/>
      <c r="D374" s="84"/>
      <c r="E374" s="6"/>
      <c r="F374" s="7"/>
      <c r="G374" s="1"/>
      <c r="H374" s="3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25.5" customHeight="1">
      <c r="A375" s="5">
        <v>7</v>
      </c>
      <c r="B375" s="91" t="s">
        <v>356</v>
      </c>
      <c r="C375" s="83"/>
      <c r="D375" s="84"/>
      <c r="E375" s="6"/>
      <c r="F375" s="7"/>
      <c r="G375" s="1"/>
      <c r="H375" s="3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25.5" customHeight="1">
      <c r="A376" s="5">
        <v>8</v>
      </c>
      <c r="B376" s="91" t="s">
        <v>357</v>
      </c>
      <c r="C376" s="83"/>
      <c r="D376" s="84"/>
      <c r="E376" s="6"/>
      <c r="F376" s="7"/>
      <c r="G376" s="1"/>
      <c r="H376" s="3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25.5" customHeight="1">
      <c r="A377" s="92" t="s">
        <v>94</v>
      </c>
      <c r="B377" s="83"/>
      <c r="C377" s="83"/>
      <c r="D377" s="83"/>
      <c r="E377" s="87"/>
      <c r="F377" s="9" t="str">
        <f>IF(COUNT(E369:E376)=0,"N/A",SUM((E369:E376))/(COUNT((E369:E376))*2))</f>
        <v>N/A</v>
      </c>
      <c r="G377" s="1"/>
      <c r="H377" s="3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25.5" customHeight="1">
      <c r="A378" s="93" t="s">
        <v>358</v>
      </c>
      <c r="B378" s="83"/>
      <c r="C378" s="83"/>
      <c r="D378" s="83"/>
      <c r="E378" s="83"/>
      <c r="F378" s="86"/>
      <c r="G378" s="1"/>
      <c r="H378" s="3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25.5" customHeight="1">
      <c r="A379" s="5">
        <v>1</v>
      </c>
      <c r="B379" s="91" t="s">
        <v>359</v>
      </c>
      <c r="C379" s="83"/>
      <c r="D379" s="84"/>
      <c r="E379" s="6"/>
      <c r="F379" s="7"/>
      <c r="G379" s="1"/>
      <c r="H379" s="3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25.5" customHeight="1">
      <c r="A380" s="5">
        <v>2</v>
      </c>
      <c r="B380" s="91" t="s">
        <v>360</v>
      </c>
      <c r="C380" s="83"/>
      <c r="D380" s="84"/>
      <c r="E380" s="6"/>
      <c r="F380" s="7"/>
      <c r="G380" s="1"/>
      <c r="H380" s="3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25.5" customHeight="1">
      <c r="A381" s="92" t="s">
        <v>94</v>
      </c>
      <c r="B381" s="83"/>
      <c r="C381" s="83"/>
      <c r="D381" s="83"/>
      <c r="E381" s="87"/>
      <c r="F381" s="9" t="str">
        <f>IF(COUNT(E379:E380)=0,"N/A",SUM((E379:E380))/(COUNT((E379:E380))*2))</f>
        <v>N/A</v>
      </c>
      <c r="G381" s="1"/>
      <c r="H381" s="3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25.5" customHeight="1">
      <c r="A382" s="93" t="s">
        <v>361</v>
      </c>
      <c r="B382" s="83"/>
      <c r="C382" s="83"/>
      <c r="D382" s="83"/>
      <c r="E382" s="83"/>
      <c r="F382" s="86"/>
      <c r="G382" s="1"/>
      <c r="H382" s="3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25.5" customHeight="1">
      <c r="A383" s="5">
        <v>1</v>
      </c>
      <c r="B383" s="91" t="s">
        <v>362</v>
      </c>
      <c r="C383" s="83"/>
      <c r="D383" s="84"/>
      <c r="E383" s="6"/>
      <c r="F383" s="7"/>
      <c r="G383" s="1"/>
      <c r="H383" s="3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25.5" customHeight="1">
      <c r="A384" s="5">
        <v>2</v>
      </c>
      <c r="B384" s="91" t="s">
        <v>363</v>
      </c>
      <c r="C384" s="83"/>
      <c r="D384" s="84"/>
      <c r="E384" s="6"/>
      <c r="F384" s="7"/>
      <c r="G384" s="1"/>
      <c r="H384" s="3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25.5" customHeight="1">
      <c r="A385" s="5">
        <v>3</v>
      </c>
      <c r="B385" s="91" t="s">
        <v>364</v>
      </c>
      <c r="C385" s="83"/>
      <c r="D385" s="84"/>
      <c r="E385" s="6"/>
      <c r="F385" s="7"/>
      <c r="G385" s="1"/>
      <c r="H385" s="3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25.5" customHeight="1">
      <c r="A386" s="92" t="s">
        <v>94</v>
      </c>
      <c r="B386" s="83"/>
      <c r="C386" s="83"/>
      <c r="D386" s="83"/>
      <c r="E386" s="87"/>
      <c r="F386" s="9" t="str">
        <f>IF(COUNT(E383:E385)=0,"N/A",SUM((E383:E385))/(COUNT((E383:E385))*2))</f>
        <v>N/A</v>
      </c>
      <c r="G386" s="1"/>
      <c r="H386" s="3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25.5" customHeight="1">
      <c r="A387" s="93" t="s">
        <v>365</v>
      </c>
      <c r="B387" s="83"/>
      <c r="C387" s="83"/>
      <c r="D387" s="83"/>
      <c r="E387" s="83"/>
      <c r="F387" s="86"/>
      <c r="G387" s="1"/>
      <c r="H387" s="3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25.5" customHeight="1">
      <c r="A388" s="5">
        <v>1</v>
      </c>
      <c r="B388" s="91" t="s">
        <v>366</v>
      </c>
      <c r="C388" s="83"/>
      <c r="D388" s="84"/>
      <c r="E388" s="6"/>
      <c r="F388" s="7"/>
      <c r="G388" s="1"/>
      <c r="H388" s="3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25.5" customHeight="1">
      <c r="A389" s="5">
        <v>2</v>
      </c>
      <c r="B389" s="91" t="s">
        <v>367</v>
      </c>
      <c r="C389" s="83"/>
      <c r="D389" s="84"/>
      <c r="E389" s="6"/>
      <c r="F389" s="7"/>
      <c r="G389" s="1"/>
      <c r="H389" s="3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25.5" customHeight="1">
      <c r="A390" s="5">
        <v>3</v>
      </c>
      <c r="B390" s="91" t="s">
        <v>368</v>
      </c>
      <c r="C390" s="83"/>
      <c r="D390" s="84"/>
      <c r="E390" s="6"/>
      <c r="F390" s="7"/>
      <c r="G390" s="1"/>
      <c r="H390" s="3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25.5" customHeight="1">
      <c r="A391" s="5">
        <v>4</v>
      </c>
      <c r="B391" s="91" t="s">
        <v>369</v>
      </c>
      <c r="C391" s="83"/>
      <c r="D391" s="84"/>
      <c r="E391" s="6"/>
      <c r="F391" s="7"/>
      <c r="G391" s="1"/>
      <c r="H391" s="3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25.5" customHeight="1">
      <c r="A392" s="92" t="s">
        <v>94</v>
      </c>
      <c r="B392" s="83"/>
      <c r="C392" s="83"/>
      <c r="D392" s="83"/>
      <c r="E392" s="87"/>
      <c r="F392" s="9" t="str">
        <f>IF(COUNT(E388:E391)=0,"N/A",SUM((E388:E391))/(COUNT((E388:E391))*2))</f>
        <v>N/A</v>
      </c>
      <c r="G392" s="1"/>
      <c r="H392" s="3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25.5" customHeight="1">
      <c r="A393" s="93" t="s">
        <v>370</v>
      </c>
      <c r="B393" s="83"/>
      <c r="C393" s="83"/>
      <c r="D393" s="83"/>
      <c r="E393" s="83"/>
      <c r="F393" s="86"/>
      <c r="G393" s="1"/>
      <c r="H393" s="3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42" customHeight="1">
      <c r="A394" s="5">
        <v>1</v>
      </c>
      <c r="B394" s="91" t="s">
        <v>371</v>
      </c>
      <c r="C394" s="83"/>
      <c r="D394" s="84"/>
      <c r="E394" s="6"/>
      <c r="F394" s="7"/>
      <c r="G394" s="1"/>
      <c r="H394" s="3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25.5" customHeight="1">
      <c r="A395" s="5">
        <v>2</v>
      </c>
      <c r="B395" s="91" t="s">
        <v>372</v>
      </c>
      <c r="C395" s="83"/>
      <c r="D395" s="84"/>
      <c r="E395" s="6"/>
      <c r="F395" s="7"/>
      <c r="G395" s="1"/>
      <c r="H395" s="3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25.5" customHeight="1">
      <c r="A396" s="5">
        <v>3</v>
      </c>
      <c r="B396" s="91" t="s">
        <v>373</v>
      </c>
      <c r="C396" s="83"/>
      <c r="D396" s="84"/>
      <c r="E396" s="6"/>
      <c r="F396" s="7"/>
      <c r="G396" s="1"/>
      <c r="H396" s="3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25.5" customHeight="1">
      <c r="A397" s="5">
        <v>4</v>
      </c>
      <c r="B397" s="91" t="s">
        <v>374</v>
      </c>
      <c r="C397" s="83"/>
      <c r="D397" s="84"/>
      <c r="E397" s="6"/>
      <c r="F397" s="7"/>
      <c r="G397" s="1"/>
      <c r="H397" s="3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83.75" customHeight="1">
      <c r="A398" s="5">
        <v>5</v>
      </c>
      <c r="B398" s="91" t="s">
        <v>375</v>
      </c>
      <c r="C398" s="83"/>
      <c r="D398" s="84"/>
      <c r="E398" s="6"/>
      <c r="F398" s="7"/>
      <c r="G398" s="1"/>
      <c r="H398" s="3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25.5" customHeight="1">
      <c r="A399" s="5">
        <v>6</v>
      </c>
      <c r="B399" s="91" t="s">
        <v>376</v>
      </c>
      <c r="C399" s="83"/>
      <c r="D399" s="84"/>
      <c r="E399" s="6"/>
      <c r="F399" s="7"/>
      <c r="G399" s="1"/>
      <c r="H399" s="3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25.5" customHeight="1">
      <c r="A400" s="5">
        <v>7</v>
      </c>
      <c r="B400" s="91" t="s">
        <v>377</v>
      </c>
      <c r="C400" s="83"/>
      <c r="D400" s="84"/>
      <c r="E400" s="6"/>
      <c r="F400" s="7"/>
      <c r="G400" s="1"/>
      <c r="H400" s="3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25.5" customHeight="1">
      <c r="A401" s="5">
        <v>8</v>
      </c>
      <c r="B401" s="91" t="s">
        <v>378</v>
      </c>
      <c r="C401" s="83"/>
      <c r="D401" s="84"/>
      <c r="E401" s="6"/>
      <c r="F401" s="7"/>
      <c r="G401" s="1"/>
      <c r="H401" s="3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25.5" customHeight="1">
      <c r="A402" s="5">
        <v>9</v>
      </c>
      <c r="B402" s="91" t="s">
        <v>379</v>
      </c>
      <c r="C402" s="83"/>
      <c r="D402" s="84"/>
      <c r="E402" s="6"/>
      <c r="F402" s="7"/>
      <c r="G402" s="1"/>
      <c r="H402" s="3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25.5" customHeight="1">
      <c r="A403" s="5">
        <v>10</v>
      </c>
      <c r="B403" s="91" t="s">
        <v>380</v>
      </c>
      <c r="C403" s="83"/>
      <c r="D403" s="84"/>
      <c r="E403" s="6"/>
      <c r="F403" s="7"/>
      <c r="G403" s="1"/>
      <c r="H403" s="3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25.5" customHeight="1">
      <c r="A404" s="5">
        <v>11</v>
      </c>
      <c r="B404" s="91" t="s">
        <v>381</v>
      </c>
      <c r="C404" s="83"/>
      <c r="D404" s="84"/>
      <c r="E404" s="6"/>
      <c r="F404" s="7"/>
      <c r="G404" s="1"/>
      <c r="H404" s="3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25.5" customHeight="1">
      <c r="A405" s="5">
        <v>12</v>
      </c>
      <c r="B405" s="91" t="s">
        <v>382</v>
      </c>
      <c r="C405" s="83"/>
      <c r="D405" s="84"/>
      <c r="E405" s="6"/>
      <c r="F405" s="7"/>
      <c r="G405" s="1"/>
      <c r="H405" s="3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25.5" customHeight="1">
      <c r="A406" s="92" t="s">
        <v>94</v>
      </c>
      <c r="B406" s="83"/>
      <c r="C406" s="83"/>
      <c r="D406" s="83"/>
      <c r="E406" s="87"/>
      <c r="F406" s="9" t="str">
        <f>IF(COUNT(E394:E405)=0,"N/A",SUM((E394:E405))/(COUNT((E394:E405))*2))</f>
        <v>N/A</v>
      </c>
      <c r="G406" s="1"/>
      <c r="H406" s="3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25.5" customHeight="1">
      <c r="A407" s="93" t="s">
        <v>383</v>
      </c>
      <c r="B407" s="83"/>
      <c r="C407" s="83"/>
      <c r="D407" s="83"/>
      <c r="E407" s="83"/>
      <c r="F407" s="86"/>
      <c r="G407" s="1"/>
      <c r="H407" s="3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25.5" customHeight="1">
      <c r="A408" s="5">
        <v>1</v>
      </c>
      <c r="B408" s="91" t="s">
        <v>384</v>
      </c>
      <c r="C408" s="83"/>
      <c r="D408" s="84"/>
      <c r="E408" s="6"/>
      <c r="F408" s="7"/>
      <c r="G408" s="1"/>
      <c r="H408" s="3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25.5" customHeight="1">
      <c r="A409" s="5">
        <v>2</v>
      </c>
      <c r="B409" s="91" t="s">
        <v>385</v>
      </c>
      <c r="C409" s="83"/>
      <c r="D409" s="84"/>
      <c r="E409" s="6"/>
      <c r="F409" s="7"/>
      <c r="G409" s="1"/>
      <c r="H409" s="3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25.5" customHeight="1">
      <c r="A410" s="5">
        <v>3</v>
      </c>
      <c r="B410" s="91" t="s">
        <v>386</v>
      </c>
      <c r="C410" s="83"/>
      <c r="D410" s="84"/>
      <c r="E410" s="6"/>
      <c r="F410" s="7"/>
      <c r="G410" s="1"/>
      <c r="H410" s="3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25.5" customHeight="1">
      <c r="A411" s="5">
        <v>4</v>
      </c>
      <c r="B411" s="91" t="s">
        <v>387</v>
      </c>
      <c r="C411" s="83"/>
      <c r="D411" s="84"/>
      <c r="E411" s="6"/>
      <c r="F411" s="7"/>
      <c r="G411" s="1"/>
      <c r="H411" s="3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25.5" customHeight="1">
      <c r="A412" s="5">
        <v>5</v>
      </c>
      <c r="B412" s="91" t="s">
        <v>388</v>
      </c>
      <c r="C412" s="83"/>
      <c r="D412" s="84"/>
      <c r="E412" s="6"/>
      <c r="F412" s="7"/>
      <c r="G412" s="1"/>
      <c r="H412" s="3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25.5" customHeight="1">
      <c r="A413" s="5">
        <v>6</v>
      </c>
      <c r="B413" s="91" t="s">
        <v>389</v>
      </c>
      <c r="C413" s="83"/>
      <c r="D413" s="84"/>
      <c r="E413" s="6"/>
      <c r="F413" s="7"/>
      <c r="G413" s="1"/>
      <c r="H413" s="3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25.5" customHeight="1">
      <c r="A414" s="5">
        <v>7</v>
      </c>
      <c r="B414" s="91" t="s">
        <v>390</v>
      </c>
      <c r="C414" s="83"/>
      <c r="D414" s="84"/>
      <c r="E414" s="6"/>
      <c r="F414" s="7"/>
      <c r="G414" s="1"/>
      <c r="H414" s="3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25.5" customHeight="1">
      <c r="A415" s="5">
        <v>8</v>
      </c>
      <c r="B415" s="91" t="s">
        <v>391</v>
      </c>
      <c r="C415" s="83"/>
      <c r="D415" s="84"/>
      <c r="E415" s="6"/>
      <c r="F415" s="7"/>
      <c r="G415" s="1"/>
      <c r="H415" s="3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84.75" customHeight="1">
      <c r="A416" s="5">
        <v>9</v>
      </c>
      <c r="B416" s="91" t="s">
        <v>392</v>
      </c>
      <c r="C416" s="83"/>
      <c r="D416" s="84"/>
      <c r="E416" s="6"/>
      <c r="F416" s="7"/>
      <c r="G416" s="1"/>
      <c r="H416" s="3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25.5" customHeight="1">
      <c r="A417" s="5">
        <v>10</v>
      </c>
      <c r="B417" s="91" t="s">
        <v>393</v>
      </c>
      <c r="C417" s="83"/>
      <c r="D417" s="84"/>
      <c r="E417" s="6"/>
      <c r="F417" s="7"/>
      <c r="G417" s="1"/>
      <c r="H417" s="3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25.5" customHeight="1">
      <c r="A418" s="5">
        <v>11</v>
      </c>
      <c r="B418" s="91" t="s">
        <v>394</v>
      </c>
      <c r="C418" s="83"/>
      <c r="D418" s="84"/>
      <c r="E418" s="6"/>
      <c r="F418" s="7"/>
      <c r="G418" s="1"/>
      <c r="H418" s="3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25.5" customHeight="1">
      <c r="A419" s="5">
        <v>12</v>
      </c>
      <c r="B419" s="91" t="s">
        <v>395</v>
      </c>
      <c r="C419" s="83"/>
      <c r="D419" s="84"/>
      <c r="E419" s="6"/>
      <c r="F419" s="7"/>
      <c r="G419" s="1"/>
      <c r="H419" s="3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39.75" customHeight="1">
      <c r="A420" s="5">
        <v>13</v>
      </c>
      <c r="B420" s="91" t="s">
        <v>396</v>
      </c>
      <c r="C420" s="83"/>
      <c r="D420" s="84"/>
      <c r="E420" s="6"/>
      <c r="F420" s="7"/>
      <c r="G420" s="1"/>
      <c r="H420" s="3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91.5" customHeight="1">
      <c r="A421" s="5">
        <v>14</v>
      </c>
      <c r="B421" s="91" t="s">
        <v>397</v>
      </c>
      <c r="C421" s="83"/>
      <c r="D421" s="84"/>
      <c r="E421" s="6"/>
      <c r="F421" s="7"/>
      <c r="G421" s="1"/>
      <c r="H421" s="3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36" customHeight="1">
      <c r="A422" s="5">
        <v>15</v>
      </c>
      <c r="B422" s="91" t="s">
        <v>398</v>
      </c>
      <c r="C422" s="83"/>
      <c r="D422" s="84"/>
      <c r="E422" s="6"/>
      <c r="F422" s="7"/>
      <c r="G422" s="1"/>
      <c r="H422" s="3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25.5" customHeight="1">
      <c r="A423" s="92" t="s">
        <v>51</v>
      </c>
      <c r="B423" s="83"/>
      <c r="C423" s="83"/>
      <c r="D423" s="83"/>
      <c r="E423" s="87"/>
      <c r="F423" s="9" t="str">
        <f>IF(COUNT(E408:E422)=0,"N/A",SUM((E408:E422))/(COUNT((E408:E422))*2))</f>
        <v>N/A</v>
      </c>
      <c r="G423" s="1"/>
      <c r="H423" s="3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25.5" customHeight="1">
      <c r="A424" s="93" t="s">
        <v>399</v>
      </c>
      <c r="B424" s="83"/>
      <c r="C424" s="83"/>
      <c r="D424" s="83"/>
      <c r="E424" s="83"/>
      <c r="F424" s="86"/>
      <c r="G424" s="1"/>
      <c r="H424" s="3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25.5" customHeight="1">
      <c r="A425" s="5">
        <v>1</v>
      </c>
      <c r="B425" s="91" t="s">
        <v>400</v>
      </c>
      <c r="C425" s="83"/>
      <c r="D425" s="84"/>
      <c r="E425" s="6"/>
      <c r="F425" s="7"/>
      <c r="G425" s="1"/>
      <c r="H425" s="3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25.5" customHeight="1">
      <c r="A426" s="5">
        <v>2</v>
      </c>
      <c r="B426" s="91" t="s">
        <v>401</v>
      </c>
      <c r="C426" s="83"/>
      <c r="D426" s="84"/>
      <c r="E426" s="6"/>
      <c r="F426" s="7"/>
      <c r="G426" s="1"/>
      <c r="H426" s="3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25.5" customHeight="1">
      <c r="A427" s="5">
        <v>3</v>
      </c>
      <c r="B427" s="91" t="s">
        <v>402</v>
      </c>
      <c r="C427" s="83"/>
      <c r="D427" s="84"/>
      <c r="E427" s="6"/>
      <c r="F427" s="7"/>
      <c r="G427" s="1"/>
      <c r="H427" s="3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25.5" customHeight="1">
      <c r="A428" s="5">
        <v>4</v>
      </c>
      <c r="B428" s="91" t="s">
        <v>403</v>
      </c>
      <c r="C428" s="83"/>
      <c r="D428" s="84"/>
      <c r="E428" s="6"/>
      <c r="F428" s="7"/>
      <c r="G428" s="1"/>
      <c r="H428" s="3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25.5" customHeight="1">
      <c r="A429" s="92" t="s">
        <v>51</v>
      </c>
      <c r="B429" s="83"/>
      <c r="C429" s="83"/>
      <c r="D429" s="83"/>
      <c r="E429" s="87"/>
      <c r="F429" s="9" t="str">
        <f>IF(COUNT(E425:E428)=0,"N/A",SUM((E425:E428))/(COUNT((E425:E428))*2))</f>
        <v>N/A</v>
      </c>
      <c r="G429" s="1"/>
      <c r="H429" s="3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25.5" customHeight="1">
      <c r="A430" s="93" t="s">
        <v>404</v>
      </c>
      <c r="B430" s="83"/>
      <c r="C430" s="83"/>
      <c r="D430" s="83"/>
      <c r="E430" s="83"/>
      <c r="F430" s="86"/>
      <c r="G430" s="1"/>
      <c r="H430" s="3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25.5" customHeight="1">
      <c r="A431" s="5">
        <v>1</v>
      </c>
      <c r="B431" s="91" t="s">
        <v>405</v>
      </c>
      <c r="C431" s="83"/>
      <c r="D431" s="84"/>
      <c r="E431" s="6"/>
      <c r="F431" s="7"/>
      <c r="G431" s="1"/>
      <c r="H431" s="3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25.5" customHeight="1">
      <c r="A432" s="5">
        <v>2</v>
      </c>
      <c r="B432" s="91" t="s">
        <v>406</v>
      </c>
      <c r="C432" s="83"/>
      <c r="D432" s="84"/>
      <c r="E432" s="6"/>
      <c r="F432" s="7"/>
      <c r="G432" s="1"/>
      <c r="H432" s="3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25.5" customHeight="1">
      <c r="A433" s="5">
        <v>3</v>
      </c>
      <c r="B433" s="91" t="s">
        <v>407</v>
      </c>
      <c r="C433" s="83"/>
      <c r="D433" s="84"/>
      <c r="E433" s="6"/>
      <c r="F433" s="7"/>
      <c r="G433" s="1"/>
      <c r="H433" s="3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25.5" customHeight="1">
      <c r="A434" s="5">
        <v>4</v>
      </c>
      <c r="B434" s="91" t="s">
        <v>408</v>
      </c>
      <c r="C434" s="83"/>
      <c r="D434" s="84"/>
      <c r="E434" s="6"/>
      <c r="F434" s="7"/>
      <c r="G434" s="1"/>
      <c r="H434" s="3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25.5" customHeight="1">
      <c r="A435" s="92" t="s">
        <v>51</v>
      </c>
      <c r="B435" s="83"/>
      <c r="C435" s="83"/>
      <c r="D435" s="83"/>
      <c r="E435" s="87"/>
      <c r="F435" s="9" t="str">
        <f>IF(COUNT(E431:E434)=0,"N/A",SUM((E431:E434))/(COUNT((E431:E434))*2))</f>
        <v>N/A</v>
      </c>
      <c r="G435" s="1"/>
      <c r="H435" s="3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25.5" customHeight="1">
      <c r="A436" s="93" t="s">
        <v>409</v>
      </c>
      <c r="B436" s="83"/>
      <c r="C436" s="83"/>
      <c r="D436" s="83"/>
      <c r="E436" s="83"/>
      <c r="F436" s="86"/>
      <c r="G436" s="1"/>
      <c r="H436" s="3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25.5" customHeight="1">
      <c r="A437" s="5">
        <v>1</v>
      </c>
      <c r="B437" s="91" t="s">
        <v>410</v>
      </c>
      <c r="C437" s="83"/>
      <c r="D437" s="84"/>
      <c r="E437" s="6"/>
      <c r="F437" s="7"/>
      <c r="G437" s="1"/>
      <c r="H437" s="3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25.5" customHeight="1">
      <c r="A438" s="5">
        <v>2</v>
      </c>
      <c r="B438" s="91" t="s">
        <v>411</v>
      </c>
      <c r="C438" s="83"/>
      <c r="D438" s="84"/>
      <c r="E438" s="6"/>
      <c r="F438" s="7"/>
      <c r="G438" s="1"/>
      <c r="H438" s="3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25.5" customHeight="1">
      <c r="A439" s="5">
        <v>3</v>
      </c>
      <c r="B439" s="91" t="s">
        <v>412</v>
      </c>
      <c r="C439" s="83"/>
      <c r="D439" s="84"/>
      <c r="E439" s="6"/>
      <c r="F439" s="7"/>
      <c r="G439" s="1"/>
      <c r="H439" s="3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25.5" customHeight="1">
      <c r="A440" s="5">
        <v>4</v>
      </c>
      <c r="B440" s="91" t="s">
        <v>413</v>
      </c>
      <c r="C440" s="83"/>
      <c r="D440" s="84"/>
      <c r="E440" s="6"/>
      <c r="F440" s="7"/>
      <c r="G440" s="1"/>
      <c r="H440" s="3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25.5" customHeight="1">
      <c r="A441" s="5">
        <v>5</v>
      </c>
      <c r="B441" s="91" t="s">
        <v>414</v>
      </c>
      <c r="C441" s="83"/>
      <c r="D441" s="84"/>
      <c r="E441" s="6"/>
      <c r="F441" s="7"/>
      <c r="G441" s="1"/>
      <c r="H441" s="3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25.5" customHeight="1">
      <c r="A442" s="5">
        <v>6</v>
      </c>
      <c r="B442" s="91" t="s">
        <v>415</v>
      </c>
      <c r="C442" s="83"/>
      <c r="D442" s="84"/>
      <c r="E442" s="6"/>
      <c r="F442" s="7"/>
      <c r="G442" s="1"/>
      <c r="H442" s="3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25.5" customHeight="1">
      <c r="A443" s="5">
        <v>7</v>
      </c>
      <c r="B443" s="91" t="s">
        <v>416</v>
      </c>
      <c r="C443" s="83"/>
      <c r="D443" s="84"/>
      <c r="E443" s="6"/>
      <c r="F443" s="7"/>
      <c r="G443" s="1"/>
      <c r="H443" s="3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25.5" customHeight="1">
      <c r="A444" s="5">
        <v>8</v>
      </c>
      <c r="B444" s="91" t="s">
        <v>417</v>
      </c>
      <c r="C444" s="83"/>
      <c r="D444" s="84"/>
      <c r="E444" s="6"/>
      <c r="F444" s="7"/>
      <c r="G444" s="1"/>
      <c r="H444" s="3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25.5" customHeight="1">
      <c r="A445" s="5">
        <v>9</v>
      </c>
      <c r="B445" s="91" t="s">
        <v>418</v>
      </c>
      <c r="C445" s="83"/>
      <c r="D445" s="84"/>
      <c r="E445" s="6"/>
      <c r="F445" s="7"/>
      <c r="G445" s="1"/>
      <c r="H445" s="3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25.5" customHeight="1">
      <c r="A446" s="5">
        <v>10</v>
      </c>
      <c r="B446" s="91" t="s">
        <v>419</v>
      </c>
      <c r="C446" s="83"/>
      <c r="D446" s="84"/>
      <c r="E446" s="6"/>
      <c r="F446" s="7"/>
      <c r="G446" s="1"/>
      <c r="H446" s="3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25.5" customHeight="1">
      <c r="A447" s="5">
        <v>11</v>
      </c>
      <c r="B447" s="91" t="s">
        <v>420</v>
      </c>
      <c r="C447" s="83"/>
      <c r="D447" s="84"/>
      <c r="E447" s="6"/>
      <c r="F447" s="7"/>
      <c r="G447" s="1"/>
      <c r="H447" s="3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25.5" customHeight="1">
      <c r="A448" s="5">
        <v>12</v>
      </c>
      <c r="B448" s="82" t="s">
        <v>421</v>
      </c>
      <c r="C448" s="83"/>
      <c r="D448" s="84"/>
      <c r="E448" s="6"/>
      <c r="F448" s="7"/>
      <c r="G448" s="1"/>
      <c r="H448" s="3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25.5" customHeight="1">
      <c r="A449" s="5">
        <v>13</v>
      </c>
      <c r="B449" s="91" t="s">
        <v>422</v>
      </c>
      <c r="C449" s="83"/>
      <c r="D449" s="84"/>
      <c r="E449" s="6"/>
      <c r="F449" s="7"/>
      <c r="G449" s="1"/>
      <c r="H449" s="3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25.5" customHeight="1">
      <c r="A450" s="5">
        <v>14</v>
      </c>
      <c r="B450" s="91" t="s">
        <v>423</v>
      </c>
      <c r="C450" s="83"/>
      <c r="D450" s="84"/>
      <c r="E450" s="6"/>
      <c r="F450" s="7"/>
      <c r="G450" s="1"/>
      <c r="H450" s="3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25.5" customHeight="1">
      <c r="A451" s="5">
        <v>15</v>
      </c>
      <c r="B451" s="91" t="s">
        <v>424</v>
      </c>
      <c r="C451" s="83"/>
      <c r="D451" s="84"/>
      <c r="E451" s="6"/>
      <c r="F451" s="7"/>
      <c r="G451" s="1"/>
      <c r="H451" s="3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25.5" customHeight="1">
      <c r="A452" s="5">
        <v>16</v>
      </c>
      <c r="B452" s="91" t="s">
        <v>425</v>
      </c>
      <c r="C452" s="83"/>
      <c r="D452" s="84"/>
      <c r="E452" s="6"/>
      <c r="F452" s="7"/>
      <c r="G452" s="1"/>
      <c r="H452" s="3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25.5" customHeight="1">
      <c r="A453" s="92" t="s">
        <v>51</v>
      </c>
      <c r="B453" s="83"/>
      <c r="C453" s="83"/>
      <c r="D453" s="83"/>
      <c r="E453" s="87"/>
      <c r="F453" s="9" t="str">
        <f>IF(COUNT(E437:E452)=0,"N/A",SUM((E437:E452))/(COUNT((E437:E452))*2))</f>
        <v>N/A</v>
      </c>
      <c r="G453" s="1"/>
      <c r="H453" s="3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25.5" customHeight="1">
      <c r="A454" s="93" t="s">
        <v>426</v>
      </c>
      <c r="B454" s="83"/>
      <c r="C454" s="83"/>
      <c r="D454" s="83"/>
      <c r="E454" s="83"/>
      <c r="F454" s="86"/>
      <c r="G454" s="1"/>
      <c r="H454" s="3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25.5" customHeight="1">
      <c r="A455" s="5">
        <v>1</v>
      </c>
      <c r="B455" s="91" t="s">
        <v>427</v>
      </c>
      <c r="C455" s="83"/>
      <c r="D455" s="84"/>
      <c r="E455" s="6"/>
      <c r="F455" s="7"/>
      <c r="G455" s="1"/>
      <c r="H455" s="3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25.5" customHeight="1">
      <c r="A456" s="5">
        <v>2</v>
      </c>
      <c r="B456" s="91" t="s">
        <v>428</v>
      </c>
      <c r="C456" s="83"/>
      <c r="D456" s="84"/>
      <c r="E456" s="6"/>
      <c r="F456" s="7"/>
      <c r="G456" s="1"/>
      <c r="H456" s="3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25.5" customHeight="1">
      <c r="A457" s="5">
        <v>3</v>
      </c>
      <c r="B457" s="91" t="s">
        <v>429</v>
      </c>
      <c r="C457" s="83"/>
      <c r="D457" s="84"/>
      <c r="E457" s="6"/>
      <c r="F457" s="7"/>
      <c r="G457" s="1"/>
      <c r="H457" s="3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25.5" customHeight="1">
      <c r="A458" s="5">
        <v>4</v>
      </c>
      <c r="B458" s="91" t="s">
        <v>430</v>
      </c>
      <c r="C458" s="83"/>
      <c r="D458" s="84"/>
      <c r="E458" s="6"/>
      <c r="F458" s="7"/>
      <c r="G458" s="1"/>
      <c r="H458" s="3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25.5" customHeight="1">
      <c r="A459" s="5">
        <v>5</v>
      </c>
      <c r="B459" s="91" t="s">
        <v>431</v>
      </c>
      <c r="C459" s="83"/>
      <c r="D459" s="84"/>
      <c r="E459" s="6"/>
      <c r="F459" s="7"/>
      <c r="G459" s="1"/>
      <c r="H459" s="3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25.5" customHeight="1">
      <c r="A460" s="5">
        <v>6</v>
      </c>
      <c r="B460" s="91" t="s">
        <v>432</v>
      </c>
      <c r="C460" s="83"/>
      <c r="D460" s="84"/>
      <c r="E460" s="6"/>
      <c r="F460" s="7"/>
      <c r="G460" s="1"/>
      <c r="H460" s="3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25.5" customHeight="1">
      <c r="A461" s="5">
        <v>7</v>
      </c>
      <c r="B461" s="91" t="s">
        <v>433</v>
      </c>
      <c r="C461" s="83"/>
      <c r="D461" s="84"/>
      <c r="E461" s="6"/>
      <c r="F461" s="7"/>
      <c r="G461" s="1"/>
      <c r="H461" s="3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25.5" customHeight="1">
      <c r="A462" s="5">
        <v>8</v>
      </c>
      <c r="B462" s="91" t="s">
        <v>434</v>
      </c>
      <c r="C462" s="83"/>
      <c r="D462" s="84"/>
      <c r="E462" s="6"/>
      <c r="F462" s="7"/>
      <c r="G462" s="1"/>
      <c r="H462" s="3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25.5" customHeight="1">
      <c r="A463" s="92" t="s">
        <v>51</v>
      </c>
      <c r="B463" s="83"/>
      <c r="C463" s="83"/>
      <c r="D463" s="83"/>
      <c r="E463" s="87"/>
      <c r="F463" s="9" t="str">
        <f>IF(COUNT(E455:E462)=0,"N/A",SUM((E455:E462))/(COUNT((E455:E462))*2))</f>
        <v>N/A</v>
      </c>
      <c r="G463" s="1"/>
      <c r="H463" s="3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25.5" customHeight="1">
      <c r="A464" s="93" t="s">
        <v>435</v>
      </c>
      <c r="B464" s="83"/>
      <c r="C464" s="83"/>
      <c r="D464" s="83"/>
      <c r="E464" s="83"/>
      <c r="F464" s="86"/>
      <c r="G464" s="1"/>
      <c r="H464" s="3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25.5" customHeight="1">
      <c r="A465" s="85" t="s">
        <v>436</v>
      </c>
      <c r="B465" s="83"/>
      <c r="C465" s="83"/>
      <c r="D465" s="83"/>
      <c r="E465" s="83"/>
      <c r="F465" s="86"/>
      <c r="G465" s="1"/>
      <c r="H465" s="3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48" customHeight="1">
      <c r="A466" s="5">
        <v>1</v>
      </c>
      <c r="B466" s="82" t="s">
        <v>437</v>
      </c>
      <c r="C466" s="83"/>
      <c r="D466" s="84"/>
      <c r="E466" s="6"/>
      <c r="F466" s="7"/>
      <c r="G466" s="1"/>
      <c r="H466" s="3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25.5" customHeight="1">
      <c r="A467" s="5">
        <v>2</v>
      </c>
      <c r="B467" s="82" t="s">
        <v>438</v>
      </c>
      <c r="C467" s="83"/>
      <c r="D467" s="84"/>
      <c r="E467" s="6"/>
      <c r="F467" s="7"/>
      <c r="G467" s="1"/>
      <c r="H467" s="3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25.5" customHeight="1">
      <c r="A468" s="5">
        <v>3</v>
      </c>
      <c r="B468" s="82" t="s">
        <v>439</v>
      </c>
      <c r="C468" s="83"/>
      <c r="D468" s="84"/>
      <c r="E468" s="6"/>
      <c r="F468" s="7"/>
      <c r="G468" s="1"/>
      <c r="H468" s="3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25.5" customHeight="1">
      <c r="A469" s="5">
        <v>4</v>
      </c>
      <c r="B469" s="82" t="s">
        <v>440</v>
      </c>
      <c r="C469" s="83"/>
      <c r="D469" s="84"/>
      <c r="E469" s="6"/>
      <c r="F469" s="7"/>
      <c r="G469" s="1"/>
      <c r="H469" s="3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25.5" customHeight="1">
      <c r="A470" s="5">
        <v>5</v>
      </c>
      <c r="B470" s="82" t="s">
        <v>441</v>
      </c>
      <c r="C470" s="83"/>
      <c r="D470" s="84"/>
      <c r="E470" s="6"/>
      <c r="F470" s="7"/>
      <c r="G470" s="1"/>
      <c r="H470" s="3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25.5" customHeight="1">
      <c r="A471" s="5">
        <v>6</v>
      </c>
      <c r="B471" s="82" t="s">
        <v>442</v>
      </c>
      <c r="C471" s="83"/>
      <c r="D471" s="84"/>
      <c r="E471" s="6"/>
      <c r="F471" s="7"/>
      <c r="G471" s="1"/>
      <c r="H471" s="3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25.5" customHeight="1">
      <c r="A472" s="5">
        <v>7</v>
      </c>
      <c r="B472" s="82" t="s">
        <v>443</v>
      </c>
      <c r="C472" s="83"/>
      <c r="D472" s="84"/>
      <c r="E472" s="6"/>
      <c r="F472" s="7"/>
      <c r="G472" s="1"/>
      <c r="H472" s="3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45" customHeight="1">
      <c r="A473" s="5">
        <v>8</v>
      </c>
      <c r="B473" s="82" t="s">
        <v>444</v>
      </c>
      <c r="C473" s="83"/>
      <c r="D473" s="84"/>
      <c r="E473" s="6"/>
      <c r="F473" s="7"/>
      <c r="G473" s="1"/>
      <c r="H473" s="3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25.5" customHeight="1">
      <c r="A474" s="5">
        <v>9</v>
      </c>
      <c r="B474" s="82" t="s">
        <v>445</v>
      </c>
      <c r="C474" s="83"/>
      <c r="D474" s="84"/>
      <c r="E474" s="6"/>
      <c r="F474" s="7"/>
      <c r="G474" s="1"/>
      <c r="H474" s="3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25.5" customHeight="1">
      <c r="A475" s="5">
        <v>10</v>
      </c>
      <c r="B475" s="82" t="s">
        <v>446</v>
      </c>
      <c r="C475" s="83"/>
      <c r="D475" s="84"/>
      <c r="E475" s="6"/>
      <c r="F475" s="7"/>
      <c r="G475" s="1"/>
      <c r="H475" s="3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25.5" customHeight="1">
      <c r="A476" s="85" t="s">
        <v>447</v>
      </c>
      <c r="B476" s="83"/>
      <c r="C476" s="83"/>
      <c r="D476" s="83"/>
      <c r="E476" s="83"/>
      <c r="F476" s="86"/>
      <c r="G476" s="1"/>
      <c r="H476" s="3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25.5" customHeight="1">
      <c r="A477" s="5">
        <v>11</v>
      </c>
      <c r="B477" s="82" t="s">
        <v>448</v>
      </c>
      <c r="C477" s="83"/>
      <c r="D477" s="84"/>
      <c r="E477" s="6"/>
      <c r="F477" s="7"/>
      <c r="G477" s="1"/>
      <c r="H477" s="3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25.5" customHeight="1">
      <c r="A478" s="5">
        <v>12</v>
      </c>
      <c r="B478" s="82" t="s">
        <v>449</v>
      </c>
      <c r="C478" s="83"/>
      <c r="D478" s="84"/>
      <c r="E478" s="6"/>
      <c r="F478" s="7"/>
      <c r="G478" s="1"/>
      <c r="H478" s="3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25.5" customHeight="1">
      <c r="A479" s="5">
        <v>13</v>
      </c>
      <c r="B479" s="82" t="s">
        <v>450</v>
      </c>
      <c r="C479" s="83"/>
      <c r="D479" s="84"/>
      <c r="E479" s="6"/>
      <c r="F479" s="7"/>
      <c r="G479" s="1"/>
      <c r="H479" s="3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25.5" customHeight="1">
      <c r="A480" s="5">
        <v>14</v>
      </c>
      <c r="B480" s="82" t="s">
        <v>451</v>
      </c>
      <c r="C480" s="83"/>
      <c r="D480" s="84"/>
      <c r="E480" s="6"/>
      <c r="F480" s="7"/>
      <c r="G480" s="1"/>
      <c r="H480" s="3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25.5" customHeight="1">
      <c r="A481" s="5">
        <v>15</v>
      </c>
      <c r="B481" s="82" t="s">
        <v>452</v>
      </c>
      <c r="C481" s="83"/>
      <c r="D481" s="84"/>
      <c r="E481" s="6"/>
      <c r="F481" s="7"/>
      <c r="G481" s="1"/>
      <c r="H481" s="3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25.5" customHeight="1">
      <c r="A482" s="5">
        <v>16</v>
      </c>
      <c r="B482" s="82" t="s">
        <v>453</v>
      </c>
      <c r="C482" s="83"/>
      <c r="D482" s="84"/>
      <c r="E482" s="6"/>
      <c r="F482" s="7"/>
      <c r="G482" s="1"/>
      <c r="H482" s="3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25.5" customHeight="1">
      <c r="A483" s="5">
        <v>17</v>
      </c>
      <c r="B483" s="82" t="s">
        <v>454</v>
      </c>
      <c r="C483" s="83"/>
      <c r="D483" s="84"/>
      <c r="E483" s="6"/>
      <c r="F483" s="7"/>
      <c r="G483" s="1"/>
      <c r="H483" s="3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25.5" customHeight="1">
      <c r="A484" s="5">
        <v>18</v>
      </c>
      <c r="B484" s="82" t="s">
        <v>455</v>
      </c>
      <c r="C484" s="83"/>
      <c r="D484" s="84"/>
      <c r="E484" s="6"/>
      <c r="F484" s="7"/>
      <c r="G484" s="1"/>
      <c r="H484" s="3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25.5" customHeight="1">
      <c r="A485" s="5">
        <v>19</v>
      </c>
      <c r="B485" s="82" t="s">
        <v>456</v>
      </c>
      <c r="C485" s="83"/>
      <c r="D485" s="84"/>
      <c r="E485" s="6"/>
      <c r="F485" s="7"/>
      <c r="G485" s="1"/>
      <c r="H485" s="3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25.5" customHeight="1">
      <c r="A486" s="5">
        <v>20</v>
      </c>
      <c r="B486" s="82" t="s">
        <v>457</v>
      </c>
      <c r="C486" s="83"/>
      <c r="D486" s="84"/>
      <c r="E486" s="6"/>
      <c r="F486" s="7"/>
      <c r="G486" s="1"/>
      <c r="H486" s="3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25.5" customHeight="1">
      <c r="A487" s="5">
        <v>21</v>
      </c>
      <c r="B487" s="82" t="s">
        <v>458</v>
      </c>
      <c r="C487" s="83"/>
      <c r="D487" s="84"/>
      <c r="E487" s="6"/>
      <c r="F487" s="7"/>
      <c r="G487" s="1"/>
      <c r="H487" s="3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25.5" customHeight="1">
      <c r="A488" s="5">
        <v>22</v>
      </c>
      <c r="B488" s="82" t="s">
        <v>459</v>
      </c>
      <c r="C488" s="83"/>
      <c r="D488" s="84"/>
      <c r="E488" s="6"/>
      <c r="F488" s="7"/>
      <c r="G488" s="1"/>
      <c r="H488" s="3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25.5" customHeight="1">
      <c r="A489" s="5">
        <v>23</v>
      </c>
      <c r="B489" s="82" t="s">
        <v>460</v>
      </c>
      <c r="C489" s="83"/>
      <c r="D489" s="84"/>
      <c r="E489" s="6"/>
      <c r="F489" s="7"/>
      <c r="G489" s="1"/>
      <c r="H489" s="3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25.5" customHeight="1">
      <c r="A490" s="5">
        <v>24</v>
      </c>
      <c r="B490" s="82" t="s">
        <v>461</v>
      </c>
      <c r="C490" s="83"/>
      <c r="D490" s="84"/>
      <c r="E490" s="6"/>
      <c r="F490" s="7"/>
      <c r="G490" s="1"/>
      <c r="H490" s="3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25.5" customHeight="1">
      <c r="A491" s="5">
        <v>25</v>
      </c>
      <c r="B491" s="82" t="s">
        <v>462</v>
      </c>
      <c r="C491" s="83"/>
      <c r="D491" s="84"/>
      <c r="E491" s="6"/>
      <c r="F491" s="7"/>
      <c r="G491" s="1"/>
      <c r="H491" s="3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25.5" customHeight="1">
      <c r="A492" s="85" t="s">
        <v>463</v>
      </c>
      <c r="B492" s="83"/>
      <c r="C492" s="83"/>
      <c r="D492" s="83"/>
      <c r="E492" s="83"/>
      <c r="F492" s="86"/>
      <c r="G492" s="1"/>
      <c r="H492" s="3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78" customHeight="1">
      <c r="A493" s="5">
        <v>26</v>
      </c>
      <c r="B493" s="82" t="s">
        <v>464</v>
      </c>
      <c r="C493" s="83"/>
      <c r="D493" s="84"/>
      <c r="E493" s="6"/>
      <c r="F493" s="7"/>
      <c r="G493" s="1"/>
      <c r="H493" s="3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51.75" customHeight="1">
      <c r="A494" s="5">
        <v>27</v>
      </c>
      <c r="B494" s="82" t="s">
        <v>465</v>
      </c>
      <c r="C494" s="83"/>
      <c r="D494" s="84"/>
      <c r="E494" s="6"/>
      <c r="F494" s="7"/>
      <c r="G494" s="1"/>
      <c r="H494" s="3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25.5" customHeight="1">
      <c r="A495" s="5">
        <v>28</v>
      </c>
      <c r="B495" s="82" t="s">
        <v>466</v>
      </c>
      <c r="C495" s="83"/>
      <c r="D495" s="87"/>
      <c r="E495" s="6"/>
      <c r="F495" s="7"/>
      <c r="G495" s="1"/>
      <c r="H495" s="3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25.5" customHeight="1">
      <c r="A496" s="85" t="s">
        <v>467</v>
      </c>
      <c r="B496" s="83"/>
      <c r="C496" s="83"/>
      <c r="D496" s="83"/>
      <c r="E496" s="83"/>
      <c r="F496" s="86"/>
      <c r="G496" s="1"/>
      <c r="H496" s="3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25.5" customHeight="1">
      <c r="A497" s="5">
        <v>29</v>
      </c>
      <c r="B497" s="82" t="s">
        <v>468</v>
      </c>
      <c r="C497" s="83"/>
      <c r="D497" s="84"/>
      <c r="E497" s="6"/>
      <c r="F497" s="7"/>
      <c r="G497" s="1"/>
      <c r="H497" s="3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25.5" customHeight="1">
      <c r="A498" s="5">
        <v>30</v>
      </c>
      <c r="B498" s="82" t="s">
        <v>469</v>
      </c>
      <c r="C498" s="83"/>
      <c r="D498" s="84"/>
      <c r="E498" s="6"/>
      <c r="F498" s="7"/>
      <c r="G498" s="1"/>
      <c r="H498" s="3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25.5" customHeight="1">
      <c r="A499" s="5">
        <v>31</v>
      </c>
      <c r="B499" s="82">
        <v>0</v>
      </c>
      <c r="C499" s="83"/>
      <c r="D499" s="84"/>
      <c r="E499" s="6"/>
      <c r="F499" s="7"/>
      <c r="G499" s="1"/>
      <c r="H499" s="3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25.5" customHeight="1">
      <c r="A500" s="5">
        <v>32</v>
      </c>
      <c r="B500" s="82" t="s">
        <v>470</v>
      </c>
      <c r="C500" s="83"/>
      <c r="D500" s="84"/>
      <c r="E500" s="6"/>
      <c r="F500" s="7"/>
      <c r="G500" s="1"/>
      <c r="H500" s="3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25.5" customHeight="1">
      <c r="A501" s="88" t="s">
        <v>94</v>
      </c>
      <c r="B501" s="89"/>
      <c r="C501" s="89"/>
      <c r="D501" s="89"/>
      <c r="E501" s="90"/>
      <c r="F501" s="10" t="str">
        <f>IF(COUNT(E466:E500)=0,"N/A",SUM((E466:E500))/(COUNT((E466:E500))*2))</f>
        <v>N/A</v>
      </c>
      <c r="G501" s="1"/>
      <c r="H501" s="3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25.5" customHeight="1">
      <c r="A502" s="80"/>
      <c r="B502" s="81"/>
      <c r="C502" s="81"/>
      <c r="D502" s="81"/>
      <c r="E502" s="81"/>
      <c r="F502" s="81"/>
      <c r="G502" s="1"/>
      <c r="H502" s="3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25.5" customHeight="1">
      <c r="A503" s="81"/>
      <c r="B503" s="81"/>
      <c r="C503" s="81"/>
      <c r="D503" s="81"/>
      <c r="E503" s="81"/>
      <c r="F503" s="81"/>
      <c r="G503" s="1"/>
      <c r="H503" s="3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25.5" customHeight="1">
      <c r="A504" s="81"/>
      <c r="B504" s="81"/>
      <c r="C504" s="81"/>
      <c r="D504" s="81"/>
      <c r="E504" s="81"/>
      <c r="F504" s="81"/>
      <c r="G504" s="1"/>
      <c r="H504" s="3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25.5" customHeight="1">
      <c r="A505" s="139" t="s">
        <v>471</v>
      </c>
      <c r="B505" s="140"/>
      <c r="C505" s="140"/>
      <c r="D505" s="140"/>
      <c r="E505" s="140"/>
      <c r="F505" s="140"/>
      <c r="G505" s="140"/>
      <c r="H505" s="141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25.5" customHeight="1">
      <c r="A506" s="11" t="s">
        <v>472</v>
      </c>
      <c r="B506" s="12" t="s">
        <v>473</v>
      </c>
      <c r="C506" s="142" t="s">
        <v>474</v>
      </c>
      <c r="D506" s="143"/>
      <c r="E506" s="144"/>
      <c r="F506" s="145" t="s">
        <v>475</v>
      </c>
      <c r="G506" s="146"/>
      <c r="H506" s="149" t="s">
        <v>476</v>
      </c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25.5" customHeight="1">
      <c r="A507" s="13"/>
      <c r="B507" s="14"/>
      <c r="C507" s="14">
        <v>0</v>
      </c>
      <c r="D507" s="14">
        <v>1</v>
      </c>
      <c r="E507" s="179" t="s">
        <v>853</v>
      </c>
      <c r="F507" s="147"/>
      <c r="G507" s="148"/>
      <c r="H507" s="150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25.5" customHeight="1">
      <c r="A508" s="15">
        <v>1</v>
      </c>
      <c r="B508" s="16" t="s">
        <v>477</v>
      </c>
      <c r="C508" s="17" t="s">
        <v>478</v>
      </c>
      <c r="D508" s="17" t="s">
        <v>479</v>
      </c>
      <c r="E508" s="17" t="s">
        <v>480</v>
      </c>
      <c r="F508" s="133"/>
      <c r="G508" s="87"/>
      <c r="H508" s="6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25.5" customHeight="1">
      <c r="A509" s="15">
        <v>2</v>
      </c>
      <c r="B509" s="16" t="s">
        <v>481</v>
      </c>
      <c r="C509" s="17" t="s">
        <v>482</v>
      </c>
      <c r="D509" s="18"/>
      <c r="E509" s="17" t="s">
        <v>483</v>
      </c>
      <c r="F509" s="133"/>
      <c r="G509" s="87"/>
      <c r="H509" s="6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25.5" customHeight="1">
      <c r="A510" s="15">
        <v>3</v>
      </c>
      <c r="B510" s="16" t="s">
        <v>484</v>
      </c>
      <c r="C510" s="17" t="s">
        <v>485</v>
      </c>
      <c r="D510" s="18"/>
      <c r="E510" s="17" t="s">
        <v>486</v>
      </c>
      <c r="F510" s="133"/>
      <c r="G510" s="87"/>
      <c r="H510" s="6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25.5" customHeight="1">
      <c r="A511" s="15">
        <v>4</v>
      </c>
      <c r="B511" s="16" t="s">
        <v>487</v>
      </c>
      <c r="C511" s="17" t="s">
        <v>488</v>
      </c>
      <c r="D511" s="18"/>
      <c r="E511" s="17" t="s">
        <v>489</v>
      </c>
      <c r="F511" s="133"/>
      <c r="G511" s="87"/>
      <c r="H511" s="6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25.5" customHeight="1">
      <c r="A512" s="15">
        <v>5</v>
      </c>
      <c r="B512" s="16" t="s">
        <v>490</v>
      </c>
      <c r="C512" s="17" t="s">
        <v>491</v>
      </c>
      <c r="D512" s="18"/>
      <c r="E512" s="17" t="s">
        <v>492</v>
      </c>
      <c r="F512" s="133"/>
      <c r="G512" s="87"/>
      <c r="H512" s="6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25.5" customHeight="1">
      <c r="A513" s="15">
        <v>6</v>
      </c>
      <c r="B513" s="16" t="s">
        <v>493</v>
      </c>
      <c r="C513" s="17" t="s">
        <v>494</v>
      </c>
      <c r="D513" s="18"/>
      <c r="E513" s="17" t="s">
        <v>495</v>
      </c>
      <c r="F513" s="133"/>
      <c r="G513" s="87"/>
      <c r="H513" s="6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25.5" customHeight="1">
      <c r="A514" s="15">
        <v>7</v>
      </c>
      <c r="B514" s="16" t="s">
        <v>496</v>
      </c>
      <c r="C514" s="17" t="s">
        <v>497</v>
      </c>
      <c r="D514" s="17" t="s">
        <v>498</v>
      </c>
      <c r="E514" s="17" t="s">
        <v>499</v>
      </c>
      <c r="F514" s="133"/>
      <c r="G514" s="87"/>
      <c r="H514" s="6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25.5" customHeight="1">
      <c r="A515" s="15">
        <v>8</v>
      </c>
      <c r="B515" s="16" t="s">
        <v>500</v>
      </c>
      <c r="C515" s="17" t="s">
        <v>501</v>
      </c>
      <c r="D515" s="17" t="s">
        <v>502</v>
      </c>
      <c r="E515" s="17" t="s">
        <v>503</v>
      </c>
      <c r="F515" s="133"/>
      <c r="G515" s="87"/>
      <c r="H515" s="6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20.25" customHeight="1">
      <c r="A516" s="135" t="s">
        <v>504</v>
      </c>
      <c r="B516" s="83"/>
      <c r="C516" s="83"/>
      <c r="D516" s="83"/>
      <c r="E516" s="83"/>
      <c r="F516" s="83"/>
      <c r="G516" s="83"/>
      <c r="H516" s="87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25.5" customHeight="1">
      <c r="A517" s="15">
        <v>9</v>
      </c>
      <c r="B517" s="16" t="s">
        <v>505</v>
      </c>
      <c r="C517" s="17" t="s">
        <v>506</v>
      </c>
      <c r="D517" s="17" t="s">
        <v>507</v>
      </c>
      <c r="E517" s="17" t="s">
        <v>508</v>
      </c>
      <c r="F517" s="133"/>
      <c r="G517" s="87"/>
      <c r="H517" s="6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25.5" customHeight="1">
      <c r="A518" s="15">
        <v>10</v>
      </c>
      <c r="B518" s="16" t="s">
        <v>509</v>
      </c>
      <c r="C518" s="17" t="s">
        <v>510</v>
      </c>
      <c r="D518" s="17" t="s">
        <v>511</v>
      </c>
      <c r="E518" s="17" t="s">
        <v>512</v>
      </c>
      <c r="F518" s="133"/>
      <c r="G518" s="87"/>
      <c r="H518" s="6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25.5" customHeight="1">
      <c r="A519" s="15">
        <v>11</v>
      </c>
      <c r="B519" s="16" t="s">
        <v>513</v>
      </c>
      <c r="C519" s="17" t="s">
        <v>514</v>
      </c>
      <c r="D519" s="17" t="s">
        <v>515</v>
      </c>
      <c r="E519" s="17" t="s">
        <v>516</v>
      </c>
      <c r="F519" s="134"/>
      <c r="G519" s="87"/>
      <c r="H519" s="6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25.5" customHeight="1">
      <c r="A520" s="15">
        <v>12</v>
      </c>
      <c r="B520" s="16" t="s">
        <v>517</v>
      </c>
      <c r="C520" s="17" t="s">
        <v>518</v>
      </c>
      <c r="D520" s="18"/>
      <c r="E520" s="17" t="s">
        <v>519</v>
      </c>
      <c r="F520" s="134"/>
      <c r="G520" s="87"/>
      <c r="H520" s="6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25.5" customHeight="1">
      <c r="A521" s="15">
        <v>13</v>
      </c>
      <c r="B521" s="16" t="s">
        <v>520</v>
      </c>
      <c r="C521" s="17" t="s">
        <v>521</v>
      </c>
      <c r="D521" s="17" t="s">
        <v>522</v>
      </c>
      <c r="E521" s="17" t="s">
        <v>523</v>
      </c>
      <c r="F521" s="134"/>
      <c r="G521" s="87"/>
      <c r="H521" s="6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25.5" customHeight="1">
      <c r="A522" s="15">
        <v>14</v>
      </c>
      <c r="B522" s="16" t="s">
        <v>524</v>
      </c>
      <c r="C522" s="17" t="s">
        <v>525</v>
      </c>
      <c r="D522" s="17" t="s">
        <v>526</v>
      </c>
      <c r="E522" s="17" t="s">
        <v>527</v>
      </c>
      <c r="F522" s="134"/>
      <c r="G522" s="87"/>
      <c r="H522" s="6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20.25" customHeight="1">
      <c r="A523" s="135" t="s">
        <v>528</v>
      </c>
      <c r="B523" s="83"/>
      <c r="C523" s="83"/>
      <c r="D523" s="83"/>
      <c r="E523" s="83"/>
      <c r="F523" s="83"/>
      <c r="G523" s="83"/>
      <c r="H523" s="87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25.5" customHeight="1">
      <c r="A524" s="15">
        <v>15</v>
      </c>
      <c r="B524" s="16" t="s">
        <v>529</v>
      </c>
      <c r="C524" s="19" t="s">
        <v>530</v>
      </c>
      <c r="D524" s="19" t="s">
        <v>531</v>
      </c>
      <c r="E524" s="19" t="s">
        <v>532</v>
      </c>
      <c r="F524" s="134"/>
      <c r="G524" s="87"/>
      <c r="H524" s="6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25.5" customHeight="1">
      <c r="A525" s="15">
        <v>16</v>
      </c>
      <c r="B525" s="16" t="s">
        <v>533</v>
      </c>
      <c r="C525" s="19" t="s">
        <v>534</v>
      </c>
      <c r="D525" s="19" t="s">
        <v>535</v>
      </c>
      <c r="E525" s="19" t="s">
        <v>536</v>
      </c>
      <c r="F525" s="134"/>
      <c r="G525" s="87"/>
      <c r="H525" s="6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25.5" customHeight="1">
      <c r="A526" s="20">
        <v>17</v>
      </c>
      <c r="B526" s="21" t="s">
        <v>537</v>
      </c>
      <c r="C526" s="22" t="s">
        <v>538</v>
      </c>
      <c r="D526" s="22" t="s">
        <v>539</v>
      </c>
      <c r="E526" s="22" t="s">
        <v>540</v>
      </c>
      <c r="F526" s="136"/>
      <c r="G526" s="90"/>
      <c r="H526" s="23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25.5" customHeight="1">
      <c r="A527" s="128" t="s">
        <v>541</v>
      </c>
      <c r="B527" s="129"/>
      <c r="C527" s="129"/>
      <c r="D527" s="129"/>
      <c r="E527" s="129"/>
      <c r="F527" s="129"/>
      <c r="G527" s="129"/>
      <c r="H527" s="130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25.5" customHeight="1">
      <c r="A528" s="24" t="s">
        <v>542</v>
      </c>
      <c r="B528" s="25" t="s">
        <v>543</v>
      </c>
      <c r="C528" s="131" t="s">
        <v>7</v>
      </c>
      <c r="D528" s="83"/>
      <c r="E528" s="83"/>
      <c r="F528" s="83"/>
      <c r="G528" s="84"/>
      <c r="H528" s="26" t="s">
        <v>476</v>
      </c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25.5" customHeight="1">
      <c r="A529" s="27">
        <v>1</v>
      </c>
      <c r="B529" s="19" t="s">
        <v>544</v>
      </c>
      <c r="C529" s="132" t="s">
        <v>545</v>
      </c>
      <c r="D529" s="83"/>
      <c r="E529" s="83"/>
      <c r="F529" s="83"/>
      <c r="G529" s="87"/>
      <c r="H529" s="6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25.5" customHeight="1">
      <c r="A530" s="27">
        <v>2</v>
      </c>
      <c r="B530" s="19" t="s">
        <v>546</v>
      </c>
      <c r="C530" s="132" t="s">
        <v>547</v>
      </c>
      <c r="D530" s="83"/>
      <c r="E530" s="83"/>
      <c r="F530" s="83"/>
      <c r="G530" s="87"/>
      <c r="H530" s="6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25.5" customHeight="1">
      <c r="A531" s="27">
        <v>3</v>
      </c>
      <c r="B531" s="19" t="s">
        <v>548</v>
      </c>
      <c r="C531" s="132" t="s">
        <v>549</v>
      </c>
      <c r="D531" s="83"/>
      <c r="E531" s="83"/>
      <c r="F531" s="83"/>
      <c r="G531" s="87"/>
      <c r="H531" s="6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25.5" customHeight="1">
      <c r="A532" s="27">
        <v>4</v>
      </c>
      <c r="B532" s="19" t="s">
        <v>550</v>
      </c>
      <c r="C532" s="132" t="s">
        <v>551</v>
      </c>
      <c r="D532" s="83"/>
      <c r="E532" s="83"/>
      <c r="F532" s="83"/>
      <c r="G532" s="87"/>
      <c r="H532" s="6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25.5" customHeight="1">
      <c r="A533" s="27">
        <v>5</v>
      </c>
      <c r="B533" s="19" t="s">
        <v>552</v>
      </c>
      <c r="C533" s="132" t="s">
        <v>553</v>
      </c>
      <c r="D533" s="83"/>
      <c r="E533" s="83"/>
      <c r="F533" s="83"/>
      <c r="G533" s="87"/>
      <c r="H533" s="6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25.5" customHeight="1">
      <c r="A534" s="27">
        <v>6</v>
      </c>
      <c r="B534" s="19" t="s">
        <v>554</v>
      </c>
      <c r="C534" s="132" t="s">
        <v>555</v>
      </c>
      <c r="D534" s="83"/>
      <c r="E534" s="83"/>
      <c r="F534" s="83"/>
      <c r="G534" s="87"/>
      <c r="H534" s="6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25.5" customHeight="1">
      <c r="A535" s="28">
        <v>7</v>
      </c>
      <c r="B535" s="22" t="s">
        <v>556</v>
      </c>
      <c r="C535" s="137" t="s">
        <v>557</v>
      </c>
      <c r="D535" s="89"/>
      <c r="E535" s="89"/>
      <c r="F535" s="89"/>
      <c r="G535" s="90"/>
      <c r="H535" s="23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8" customHeight="1">
      <c r="A536" s="138" t="s">
        <v>558</v>
      </c>
      <c r="B536" s="129"/>
      <c r="C536" s="129"/>
      <c r="D536" s="129"/>
      <c r="E536" s="129"/>
      <c r="F536" s="129"/>
      <c r="G536" s="129"/>
      <c r="H536" s="130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25.5" customHeight="1">
      <c r="A537" s="24" t="s">
        <v>559</v>
      </c>
      <c r="B537" s="25" t="s">
        <v>560</v>
      </c>
      <c r="C537" s="131" t="s">
        <v>7</v>
      </c>
      <c r="D537" s="83"/>
      <c r="E537" s="83"/>
      <c r="F537" s="83"/>
      <c r="G537" s="84"/>
      <c r="H537" s="26" t="s">
        <v>476</v>
      </c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25.5" customHeight="1">
      <c r="A538" s="27">
        <v>1</v>
      </c>
      <c r="B538" s="16" t="s">
        <v>561</v>
      </c>
      <c r="C538" s="132" t="s">
        <v>562</v>
      </c>
      <c r="D538" s="83"/>
      <c r="E538" s="83"/>
      <c r="F538" s="83"/>
      <c r="G538" s="87"/>
      <c r="H538" s="6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25.5" customHeight="1">
      <c r="A539" s="27">
        <v>2</v>
      </c>
      <c r="B539" s="16" t="s">
        <v>563</v>
      </c>
      <c r="C539" s="132" t="s">
        <v>564</v>
      </c>
      <c r="D539" s="83"/>
      <c r="E539" s="83"/>
      <c r="F539" s="83"/>
      <c r="G539" s="87"/>
      <c r="H539" s="6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25.5" customHeight="1">
      <c r="A540" s="27">
        <v>3</v>
      </c>
      <c r="B540" s="16" t="s">
        <v>565</v>
      </c>
      <c r="C540" s="132" t="s">
        <v>566</v>
      </c>
      <c r="D540" s="83"/>
      <c r="E540" s="83"/>
      <c r="F540" s="83"/>
      <c r="G540" s="87"/>
      <c r="H540" s="6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25.5" customHeight="1">
      <c r="A541" s="27">
        <v>4</v>
      </c>
      <c r="B541" s="16" t="s">
        <v>567</v>
      </c>
      <c r="C541" s="132" t="s">
        <v>568</v>
      </c>
      <c r="D541" s="83"/>
      <c r="E541" s="83"/>
      <c r="F541" s="83"/>
      <c r="G541" s="87"/>
      <c r="H541" s="6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25.5" customHeight="1">
      <c r="A542" s="28">
        <v>5</v>
      </c>
      <c r="B542" s="21" t="s">
        <v>569</v>
      </c>
      <c r="C542" s="137" t="s">
        <v>570</v>
      </c>
      <c r="D542" s="89"/>
      <c r="E542" s="89"/>
      <c r="F542" s="89"/>
      <c r="G542" s="90"/>
      <c r="H542" s="23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8" customHeight="1">
      <c r="A543" s="138" t="s">
        <v>571</v>
      </c>
      <c r="B543" s="129"/>
      <c r="C543" s="129"/>
      <c r="D543" s="129"/>
      <c r="E543" s="129"/>
      <c r="F543" s="129"/>
      <c r="G543" s="129"/>
      <c r="H543" s="130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25.5" customHeight="1">
      <c r="A544" s="24" t="s">
        <v>572</v>
      </c>
      <c r="B544" s="25" t="s">
        <v>573</v>
      </c>
      <c r="C544" s="131" t="s">
        <v>7</v>
      </c>
      <c r="D544" s="83"/>
      <c r="E544" s="83"/>
      <c r="F544" s="83"/>
      <c r="G544" s="84"/>
      <c r="H544" s="26" t="s">
        <v>476</v>
      </c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25.5" customHeight="1">
      <c r="A545" s="27">
        <v>1</v>
      </c>
      <c r="B545" s="29" t="s">
        <v>574</v>
      </c>
      <c r="C545" s="124"/>
      <c r="D545" s="83"/>
      <c r="E545" s="83"/>
      <c r="F545" s="83"/>
      <c r="G545" s="87"/>
      <c r="H545" s="6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25.5" customHeight="1">
      <c r="A546" s="27">
        <v>2</v>
      </c>
      <c r="B546" s="30" t="s">
        <v>575</v>
      </c>
      <c r="C546" s="124"/>
      <c r="D546" s="83"/>
      <c r="E546" s="83"/>
      <c r="F546" s="83"/>
      <c r="G546" s="87"/>
      <c r="H546" s="6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25.5" customHeight="1">
      <c r="A547" s="27">
        <v>3</v>
      </c>
      <c r="B547" s="29" t="s">
        <v>576</v>
      </c>
      <c r="C547" s="124"/>
      <c r="D547" s="83"/>
      <c r="E547" s="83"/>
      <c r="F547" s="83"/>
      <c r="G547" s="87"/>
      <c r="H547" s="6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25.5" customHeight="1">
      <c r="A548" s="27">
        <v>4</v>
      </c>
      <c r="B548" s="29" t="s">
        <v>577</v>
      </c>
      <c r="C548" s="124"/>
      <c r="D548" s="83"/>
      <c r="E548" s="83"/>
      <c r="F548" s="83"/>
      <c r="G548" s="87"/>
      <c r="H548" s="6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25.5" customHeight="1">
      <c r="A549" s="27">
        <v>5</v>
      </c>
      <c r="B549" s="29" t="s">
        <v>578</v>
      </c>
      <c r="C549" s="123"/>
      <c r="D549" s="83"/>
      <c r="E549" s="83"/>
      <c r="F549" s="83"/>
      <c r="G549" s="87"/>
      <c r="H549" s="6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25.5" customHeight="1">
      <c r="A550" s="27">
        <v>6</v>
      </c>
      <c r="B550" s="29" t="s">
        <v>579</v>
      </c>
      <c r="C550" s="127"/>
      <c r="D550" s="83"/>
      <c r="E550" s="83"/>
      <c r="F550" s="83"/>
      <c r="G550" s="87"/>
      <c r="H550" s="6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25.5" customHeight="1">
      <c r="A551" s="27">
        <v>7</v>
      </c>
      <c r="B551" s="29" t="s">
        <v>580</v>
      </c>
      <c r="C551" s="123"/>
      <c r="D551" s="83"/>
      <c r="E551" s="83"/>
      <c r="F551" s="83"/>
      <c r="G551" s="87"/>
      <c r="H551" s="6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25.5" customHeight="1">
      <c r="A552" s="27">
        <v>8</v>
      </c>
      <c r="B552" s="30" t="s">
        <v>581</v>
      </c>
      <c r="C552" s="123"/>
      <c r="D552" s="83"/>
      <c r="E552" s="83"/>
      <c r="F552" s="83"/>
      <c r="G552" s="87"/>
      <c r="H552" s="6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25.5" customHeight="1">
      <c r="A553" s="27">
        <v>9</v>
      </c>
      <c r="B553" s="30" t="s">
        <v>582</v>
      </c>
      <c r="C553" s="123"/>
      <c r="D553" s="83"/>
      <c r="E553" s="83"/>
      <c r="F553" s="83"/>
      <c r="G553" s="87"/>
      <c r="H553" s="6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25.5" customHeight="1">
      <c r="A554" s="27">
        <v>10</v>
      </c>
      <c r="B554" s="29" t="s">
        <v>583</v>
      </c>
      <c r="C554" s="123"/>
      <c r="D554" s="83"/>
      <c r="E554" s="83"/>
      <c r="F554" s="83"/>
      <c r="G554" s="87"/>
      <c r="H554" s="6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25.5" customHeight="1">
      <c r="A555" s="27">
        <v>11</v>
      </c>
      <c r="B555" s="29" t="s">
        <v>584</v>
      </c>
      <c r="C555" s="123"/>
      <c r="D555" s="83"/>
      <c r="E555" s="83"/>
      <c r="F555" s="83"/>
      <c r="G555" s="87"/>
      <c r="H555" s="6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25.5" customHeight="1">
      <c r="A556" s="27">
        <v>12</v>
      </c>
      <c r="B556" s="29" t="s">
        <v>585</v>
      </c>
      <c r="C556" s="127"/>
      <c r="D556" s="83"/>
      <c r="E556" s="83"/>
      <c r="F556" s="83"/>
      <c r="G556" s="87"/>
      <c r="H556" s="6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25.5" customHeight="1">
      <c r="A557" s="27">
        <v>13</v>
      </c>
      <c r="B557" s="29" t="s">
        <v>586</v>
      </c>
      <c r="C557" s="123"/>
      <c r="D557" s="83"/>
      <c r="E557" s="83"/>
      <c r="F557" s="83"/>
      <c r="G557" s="87"/>
      <c r="H557" s="6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25.5" customHeight="1">
      <c r="A558" s="27">
        <v>14</v>
      </c>
      <c r="B558" s="29" t="s">
        <v>587</v>
      </c>
      <c r="C558" s="124"/>
      <c r="D558" s="83"/>
      <c r="E558" s="83"/>
      <c r="F558" s="83"/>
      <c r="G558" s="87"/>
      <c r="H558" s="6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25.5" customHeight="1">
      <c r="A559" s="27">
        <v>15</v>
      </c>
      <c r="B559" s="29" t="s">
        <v>588</v>
      </c>
      <c r="C559" s="124"/>
      <c r="D559" s="83"/>
      <c r="E559" s="83"/>
      <c r="F559" s="83"/>
      <c r="G559" s="87"/>
      <c r="H559" s="6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8" customHeight="1">
      <c r="A560" s="125" t="s">
        <v>589</v>
      </c>
      <c r="B560" s="89"/>
      <c r="C560" s="89"/>
      <c r="D560" s="89"/>
      <c r="E560" s="89"/>
      <c r="F560" s="89"/>
      <c r="G560" s="126"/>
      <c r="H560" s="31" t="str">
        <f>IF(COUNT(H508:H559)=0,"N/A",SUM((H508:H559))/(COUNT((H508:H559))*2))</f>
        <v>N/A</v>
      </c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25.5" customHeight="1">
      <c r="A561" s="3"/>
      <c r="B561" s="3"/>
      <c r="C561" s="3"/>
      <c r="D561" s="3"/>
      <c r="E561" s="3"/>
      <c r="F561" s="32"/>
      <c r="G561" s="1"/>
      <c r="H561" s="3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25.5" customHeight="1">
      <c r="A562" s="3"/>
      <c r="B562" s="3"/>
      <c r="C562" s="3"/>
      <c r="D562" s="3"/>
      <c r="E562" s="3"/>
      <c r="F562" s="32"/>
      <c r="G562" s="1"/>
      <c r="H562" s="3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25.5" customHeight="1">
      <c r="A563" s="3"/>
      <c r="B563" s="3"/>
      <c r="C563" s="3"/>
      <c r="D563" s="3"/>
      <c r="E563" s="3"/>
      <c r="F563" s="32"/>
      <c r="G563" s="1"/>
      <c r="H563" s="3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25.5" customHeight="1">
      <c r="A564" s="3"/>
      <c r="B564" s="3"/>
      <c r="C564" s="3"/>
      <c r="D564" s="3"/>
      <c r="E564" s="3"/>
      <c r="F564" s="32"/>
      <c r="G564" s="1"/>
      <c r="H564" s="3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25.5" customHeight="1">
      <c r="A565" s="3"/>
      <c r="B565" s="3"/>
      <c r="C565" s="3"/>
      <c r="D565" s="3"/>
      <c r="E565" s="3"/>
      <c r="F565" s="32"/>
      <c r="G565" s="1"/>
      <c r="H565" s="3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25.5" customHeight="1">
      <c r="A566" s="3"/>
      <c r="B566" s="3"/>
      <c r="C566" s="3"/>
      <c r="D566" s="3"/>
      <c r="E566" s="3"/>
      <c r="F566" s="32"/>
      <c r="G566" s="1"/>
      <c r="H566" s="3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25.5" customHeight="1">
      <c r="A567" s="3"/>
      <c r="B567" s="3"/>
      <c r="C567" s="3"/>
      <c r="D567" s="3"/>
      <c r="E567" s="3"/>
      <c r="F567" s="32"/>
      <c r="G567" s="1"/>
      <c r="H567" s="3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25.5" customHeight="1">
      <c r="A568" s="3"/>
      <c r="B568" s="3"/>
      <c r="C568" s="3"/>
      <c r="D568" s="3"/>
      <c r="E568" s="3"/>
      <c r="F568" s="32"/>
      <c r="G568" s="1"/>
      <c r="H568" s="3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25.5" customHeight="1">
      <c r="A569" s="3"/>
      <c r="B569" s="3"/>
      <c r="C569" s="3"/>
      <c r="D569" s="3"/>
      <c r="E569" s="3"/>
      <c r="F569" s="32"/>
      <c r="G569" s="1"/>
      <c r="H569" s="3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25.5" customHeight="1">
      <c r="A570" s="3"/>
      <c r="B570" s="3"/>
      <c r="C570" s="3"/>
      <c r="D570" s="3"/>
      <c r="E570" s="3"/>
      <c r="F570" s="32"/>
      <c r="G570" s="1"/>
      <c r="H570" s="3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25.5" customHeight="1">
      <c r="A571" s="3"/>
      <c r="B571" s="3"/>
      <c r="C571" s="3"/>
      <c r="D571" s="3"/>
      <c r="E571" s="3"/>
      <c r="F571" s="32"/>
      <c r="G571" s="1"/>
      <c r="H571" s="3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25.5" customHeight="1">
      <c r="A572" s="3"/>
      <c r="B572" s="3"/>
      <c r="C572" s="3"/>
      <c r="D572" s="3"/>
      <c r="E572" s="3"/>
      <c r="F572" s="32"/>
      <c r="G572" s="1"/>
      <c r="H572" s="3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25.5" customHeight="1">
      <c r="A573" s="3"/>
      <c r="B573" s="3"/>
      <c r="C573" s="3"/>
      <c r="D573" s="3"/>
      <c r="E573" s="3"/>
      <c r="F573" s="32"/>
      <c r="G573" s="1"/>
      <c r="H573" s="3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25.5" customHeight="1">
      <c r="A574" s="3"/>
      <c r="B574" s="3"/>
      <c r="C574" s="3"/>
      <c r="D574" s="3"/>
      <c r="E574" s="3"/>
      <c r="F574" s="32"/>
      <c r="G574" s="1"/>
      <c r="H574" s="3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25.5" customHeight="1">
      <c r="A575" s="3"/>
      <c r="B575" s="3"/>
      <c r="C575" s="3"/>
      <c r="D575" s="3"/>
      <c r="E575" s="3"/>
      <c r="F575" s="32"/>
      <c r="G575" s="1"/>
      <c r="H575" s="3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25.5" customHeight="1">
      <c r="A576" s="3"/>
      <c r="B576" s="3"/>
      <c r="C576" s="3"/>
      <c r="D576" s="3"/>
      <c r="E576" s="3"/>
      <c r="F576" s="32"/>
      <c r="G576" s="1"/>
      <c r="H576" s="3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25.5" customHeight="1">
      <c r="A577" s="3"/>
      <c r="B577" s="3"/>
      <c r="C577" s="3"/>
      <c r="D577" s="3"/>
      <c r="E577" s="3"/>
      <c r="F577" s="32"/>
      <c r="G577" s="1"/>
      <c r="H577" s="3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25.5" customHeight="1">
      <c r="A578" s="3"/>
      <c r="B578" s="3"/>
      <c r="C578" s="3"/>
      <c r="D578" s="3"/>
      <c r="E578" s="3"/>
      <c r="F578" s="32"/>
      <c r="G578" s="1"/>
      <c r="H578" s="3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25.5" customHeight="1">
      <c r="A579" s="3"/>
      <c r="B579" s="3"/>
      <c r="C579" s="3"/>
      <c r="D579" s="3"/>
      <c r="E579" s="3"/>
      <c r="F579" s="32"/>
      <c r="G579" s="1"/>
      <c r="H579" s="3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25.5" customHeight="1">
      <c r="A580" s="3"/>
      <c r="B580" s="3"/>
      <c r="C580" s="3"/>
      <c r="D580" s="3"/>
      <c r="E580" s="3"/>
      <c r="F580" s="32"/>
      <c r="G580" s="1"/>
      <c r="H580" s="3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25.5" customHeight="1">
      <c r="A581" s="3"/>
      <c r="B581" s="3"/>
      <c r="C581" s="3"/>
      <c r="D581" s="3"/>
      <c r="E581" s="3"/>
      <c r="F581" s="32"/>
      <c r="G581" s="1"/>
      <c r="H581" s="3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25.5" customHeight="1">
      <c r="A582" s="3"/>
      <c r="B582" s="3"/>
      <c r="C582" s="3"/>
      <c r="D582" s="3"/>
      <c r="E582" s="3"/>
      <c r="F582" s="32"/>
      <c r="G582" s="1"/>
      <c r="H582" s="3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25.5" customHeight="1">
      <c r="A583" s="3"/>
      <c r="B583" s="3"/>
      <c r="C583" s="3"/>
      <c r="D583" s="3"/>
      <c r="E583" s="3"/>
      <c r="F583" s="32"/>
      <c r="G583" s="1"/>
      <c r="H583" s="3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25.5" customHeight="1">
      <c r="A584" s="3"/>
      <c r="B584" s="3"/>
      <c r="C584" s="3"/>
      <c r="D584" s="3"/>
      <c r="E584" s="3"/>
      <c r="F584" s="32"/>
      <c r="G584" s="1"/>
      <c r="H584" s="3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25.5" customHeight="1">
      <c r="A585" s="3"/>
      <c r="B585" s="3"/>
      <c r="C585" s="3"/>
      <c r="D585" s="3"/>
      <c r="E585" s="3"/>
      <c r="F585" s="32"/>
      <c r="G585" s="1"/>
      <c r="H585" s="3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25.5" customHeight="1">
      <c r="A586" s="3"/>
      <c r="B586" s="3"/>
      <c r="C586" s="3"/>
      <c r="D586" s="3"/>
      <c r="E586" s="3"/>
      <c r="F586" s="32"/>
      <c r="G586" s="1"/>
      <c r="H586" s="3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25.5" customHeight="1">
      <c r="A587" s="3"/>
      <c r="B587" s="3"/>
      <c r="C587" s="3"/>
      <c r="D587" s="3"/>
      <c r="E587" s="3"/>
      <c r="F587" s="32"/>
      <c r="G587" s="1"/>
      <c r="H587" s="3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25.5" customHeight="1">
      <c r="A588" s="3"/>
      <c r="B588" s="3"/>
      <c r="C588" s="3"/>
      <c r="D588" s="3"/>
      <c r="E588" s="3"/>
      <c r="F588" s="32"/>
      <c r="G588" s="1"/>
      <c r="H588" s="3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25.5" customHeight="1">
      <c r="A589" s="3"/>
      <c r="B589" s="3"/>
      <c r="C589" s="3"/>
      <c r="D589" s="3"/>
      <c r="E589" s="3"/>
      <c r="F589" s="32"/>
      <c r="G589" s="1"/>
      <c r="H589" s="3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25.5" customHeight="1">
      <c r="A590" s="3"/>
      <c r="B590" s="3"/>
      <c r="C590" s="3"/>
      <c r="D590" s="3"/>
      <c r="E590" s="3"/>
      <c r="F590" s="32"/>
      <c r="G590" s="1"/>
      <c r="H590" s="3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25.5" customHeight="1">
      <c r="A591" s="3"/>
      <c r="B591" s="3"/>
      <c r="C591" s="3"/>
      <c r="D591" s="3"/>
      <c r="E591" s="3"/>
      <c r="F591" s="32"/>
      <c r="G591" s="1"/>
      <c r="H591" s="3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25.5" customHeight="1">
      <c r="A592" s="3"/>
      <c r="B592" s="3"/>
      <c r="C592" s="3"/>
      <c r="D592" s="3"/>
      <c r="E592" s="3"/>
      <c r="F592" s="32"/>
      <c r="G592" s="1"/>
      <c r="H592" s="3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25.5" customHeight="1">
      <c r="A593" s="3"/>
      <c r="B593" s="3"/>
      <c r="C593" s="3"/>
      <c r="D593" s="3"/>
      <c r="E593" s="3"/>
      <c r="F593" s="32"/>
      <c r="G593" s="1"/>
      <c r="H593" s="3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25.5" customHeight="1">
      <c r="A594" s="3"/>
      <c r="B594" s="3"/>
      <c r="C594" s="3"/>
      <c r="D594" s="3"/>
      <c r="E594" s="3"/>
      <c r="F594" s="32"/>
      <c r="G594" s="1"/>
      <c r="H594" s="3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25.5" customHeight="1">
      <c r="A595" s="3"/>
      <c r="B595" s="3"/>
      <c r="C595" s="3"/>
      <c r="D595" s="3"/>
      <c r="E595" s="3"/>
      <c r="F595" s="32"/>
      <c r="G595" s="1"/>
      <c r="H595" s="3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25.5" customHeight="1">
      <c r="A596" s="3"/>
      <c r="B596" s="3"/>
      <c r="C596" s="3"/>
      <c r="D596" s="3"/>
      <c r="E596" s="3"/>
      <c r="F596" s="32"/>
      <c r="G596" s="1"/>
      <c r="H596" s="3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25.5" customHeight="1">
      <c r="A597" s="3"/>
      <c r="B597" s="3"/>
      <c r="C597" s="3"/>
      <c r="D597" s="3"/>
      <c r="E597" s="3"/>
      <c r="F597" s="32"/>
      <c r="G597" s="1"/>
      <c r="H597" s="3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25.5" customHeight="1">
      <c r="A598" s="3"/>
      <c r="B598" s="3"/>
      <c r="C598" s="3"/>
      <c r="D598" s="3"/>
      <c r="E598" s="3"/>
      <c r="F598" s="32"/>
      <c r="G598" s="1"/>
      <c r="H598" s="3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25.5" customHeight="1">
      <c r="A599" s="3"/>
      <c r="B599" s="3"/>
      <c r="C599" s="3"/>
      <c r="D599" s="3"/>
      <c r="E599" s="3"/>
      <c r="F599" s="32"/>
      <c r="G599" s="1"/>
      <c r="H599" s="3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25.5" customHeight="1">
      <c r="A600" s="3"/>
      <c r="B600" s="3"/>
      <c r="C600" s="3"/>
      <c r="D600" s="3"/>
      <c r="E600" s="3"/>
      <c r="F600" s="32"/>
      <c r="G600" s="1"/>
      <c r="H600" s="3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25.5" customHeight="1">
      <c r="A601" s="3"/>
      <c r="B601" s="3"/>
      <c r="C601" s="3"/>
      <c r="D601" s="3"/>
      <c r="E601" s="3"/>
      <c r="F601" s="32"/>
      <c r="G601" s="1"/>
      <c r="H601" s="3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25.5" customHeight="1">
      <c r="A602" s="3"/>
      <c r="B602" s="3"/>
      <c r="C602" s="3"/>
      <c r="D602" s="3"/>
      <c r="E602" s="3"/>
      <c r="F602" s="32"/>
      <c r="G602" s="1"/>
      <c r="H602" s="3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25.5" customHeight="1">
      <c r="A603" s="3"/>
      <c r="B603" s="3"/>
      <c r="C603" s="3"/>
      <c r="D603" s="3"/>
      <c r="E603" s="3"/>
      <c r="F603" s="32"/>
      <c r="G603" s="1"/>
      <c r="H603" s="3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25.5" customHeight="1">
      <c r="A604" s="3"/>
      <c r="B604" s="3"/>
      <c r="C604" s="3"/>
      <c r="D604" s="3"/>
      <c r="E604" s="3"/>
      <c r="F604" s="32"/>
      <c r="G604" s="1"/>
      <c r="H604" s="3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25.5" customHeight="1">
      <c r="A605" s="3"/>
      <c r="B605" s="3"/>
      <c r="C605" s="3"/>
      <c r="D605" s="3"/>
      <c r="E605" s="3"/>
      <c r="F605" s="32"/>
      <c r="G605" s="1"/>
      <c r="H605" s="3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25.5" customHeight="1">
      <c r="A606" s="3"/>
      <c r="B606" s="3"/>
      <c r="C606" s="3"/>
      <c r="D606" s="3"/>
      <c r="E606" s="3"/>
      <c r="F606" s="32"/>
      <c r="G606" s="1"/>
      <c r="H606" s="3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25.5" customHeight="1">
      <c r="A607" s="3"/>
      <c r="B607" s="3"/>
      <c r="C607" s="3"/>
      <c r="D607" s="3"/>
      <c r="E607" s="3"/>
      <c r="F607" s="32"/>
      <c r="G607" s="1"/>
      <c r="H607" s="3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25.5" customHeight="1">
      <c r="A608" s="3"/>
      <c r="B608" s="3"/>
      <c r="C608" s="3"/>
      <c r="D608" s="3"/>
      <c r="E608" s="3"/>
      <c r="F608" s="32"/>
      <c r="G608" s="1"/>
      <c r="H608" s="3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25.5" customHeight="1">
      <c r="A609" s="3"/>
      <c r="B609" s="3"/>
      <c r="C609" s="3"/>
      <c r="D609" s="3"/>
      <c r="E609" s="3"/>
      <c r="F609" s="32"/>
      <c r="G609" s="1"/>
      <c r="H609" s="3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25.5" customHeight="1">
      <c r="A610" s="3"/>
      <c r="B610" s="3"/>
      <c r="C610" s="3"/>
      <c r="D610" s="3"/>
      <c r="E610" s="3"/>
      <c r="F610" s="32"/>
      <c r="G610" s="1"/>
      <c r="H610" s="3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25.5" customHeight="1">
      <c r="A611" s="3"/>
      <c r="B611" s="3"/>
      <c r="C611" s="3"/>
      <c r="D611" s="3"/>
      <c r="E611" s="3"/>
      <c r="F611" s="32"/>
      <c r="G611" s="1"/>
      <c r="H611" s="3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25.5" customHeight="1">
      <c r="A612" s="3"/>
      <c r="B612" s="3"/>
      <c r="C612" s="3"/>
      <c r="D612" s="3"/>
      <c r="E612" s="3"/>
      <c r="F612" s="32"/>
      <c r="G612" s="1"/>
      <c r="H612" s="3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25.5" customHeight="1">
      <c r="A613" s="3"/>
      <c r="B613" s="3"/>
      <c r="C613" s="3"/>
      <c r="D613" s="3"/>
      <c r="E613" s="3"/>
      <c r="F613" s="32"/>
      <c r="G613" s="1"/>
      <c r="H613" s="3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25.5" customHeight="1">
      <c r="A614" s="3"/>
      <c r="B614" s="3"/>
      <c r="C614" s="3"/>
      <c r="D614" s="3"/>
      <c r="E614" s="3"/>
      <c r="F614" s="32"/>
      <c r="G614" s="1"/>
      <c r="H614" s="3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25.5" customHeight="1">
      <c r="A615" s="3"/>
      <c r="B615" s="3"/>
      <c r="C615" s="3"/>
      <c r="D615" s="3"/>
      <c r="E615" s="3"/>
      <c r="F615" s="32"/>
      <c r="G615" s="1"/>
      <c r="H615" s="3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25.5" customHeight="1">
      <c r="A616" s="3"/>
      <c r="B616" s="3"/>
      <c r="C616" s="3"/>
      <c r="D616" s="3"/>
      <c r="E616" s="3"/>
      <c r="F616" s="32"/>
      <c r="G616" s="1"/>
      <c r="H616" s="3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25.5" customHeight="1">
      <c r="A617" s="3"/>
      <c r="B617" s="3"/>
      <c r="C617" s="3"/>
      <c r="D617" s="3"/>
      <c r="E617" s="3"/>
      <c r="F617" s="32"/>
      <c r="G617" s="1"/>
      <c r="H617" s="3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25.5" customHeight="1">
      <c r="A618" s="3"/>
      <c r="B618" s="3"/>
      <c r="C618" s="3"/>
      <c r="D618" s="3"/>
      <c r="E618" s="3"/>
      <c r="F618" s="32"/>
      <c r="G618" s="1"/>
      <c r="H618" s="3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25.5" customHeight="1">
      <c r="A619" s="3"/>
      <c r="B619" s="3"/>
      <c r="C619" s="3"/>
      <c r="D619" s="3"/>
      <c r="E619" s="3"/>
      <c r="F619" s="32"/>
      <c r="G619" s="1"/>
      <c r="H619" s="3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25.5" customHeight="1">
      <c r="A620" s="3"/>
      <c r="B620" s="3"/>
      <c r="C620" s="3"/>
      <c r="D620" s="3"/>
      <c r="E620" s="3"/>
      <c r="F620" s="32"/>
      <c r="G620" s="1"/>
      <c r="H620" s="3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25.5" customHeight="1">
      <c r="A621" s="3"/>
      <c r="B621" s="3"/>
      <c r="C621" s="3"/>
      <c r="D621" s="3"/>
      <c r="E621" s="3"/>
      <c r="F621" s="32"/>
      <c r="G621" s="1"/>
      <c r="H621" s="3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25.5" customHeight="1">
      <c r="A622" s="3"/>
      <c r="B622" s="3"/>
      <c r="C622" s="3"/>
      <c r="D622" s="3"/>
      <c r="E622" s="3"/>
      <c r="F622" s="32"/>
      <c r="G622" s="1"/>
      <c r="H622" s="3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25.5" customHeight="1">
      <c r="A623" s="3"/>
      <c r="B623" s="3"/>
      <c r="C623" s="3"/>
      <c r="D623" s="3"/>
      <c r="E623" s="3"/>
      <c r="F623" s="32"/>
      <c r="G623" s="1"/>
      <c r="H623" s="3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25.5" customHeight="1">
      <c r="A624" s="3"/>
      <c r="B624" s="3"/>
      <c r="C624" s="3"/>
      <c r="D624" s="3"/>
      <c r="E624" s="3"/>
      <c r="F624" s="32"/>
      <c r="G624" s="1"/>
      <c r="H624" s="3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25.5" customHeight="1">
      <c r="A625" s="3"/>
      <c r="B625" s="3"/>
      <c r="C625" s="3"/>
      <c r="D625" s="3"/>
      <c r="E625" s="3"/>
      <c r="F625" s="32"/>
      <c r="G625" s="1"/>
      <c r="H625" s="3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25.5" customHeight="1">
      <c r="A626" s="3"/>
      <c r="B626" s="3"/>
      <c r="C626" s="3"/>
      <c r="D626" s="3"/>
      <c r="E626" s="3"/>
      <c r="F626" s="32"/>
      <c r="G626" s="1"/>
      <c r="H626" s="3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25.5" customHeight="1">
      <c r="A627" s="3"/>
      <c r="B627" s="3"/>
      <c r="C627" s="3"/>
      <c r="D627" s="3"/>
      <c r="E627" s="3"/>
      <c r="F627" s="32"/>
      <c r="G627" s="1"/>
      <c r="H627" s="3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25.5" customHeight="1">
      <c r="A628" s="3"/>
      <c r="B628" s="3"/>
      <c r="C628" s="3"/>
      <c r="D628" s="3"/>
      <c r="E628" s="3"/>
      <c r="F628" s="32"/>
      <c r="G628" s="1"/>
      <c r="H628" s="3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25.5" customHeight="1">
      <c r="A629" s="3"/>
      <c r="B629" s="3"/>
      <c r="C629" s="3"/>
      <c r="D629" s="3"/>
      <c r="E629" s="3"/>
      <c r="F629" s="32"/>
      <c r="G629" s="1"/>
      <c r="H629" s="3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25.5" customHeight="1">
      <c r="A630" s="3"/>
      <c r="B630" s="3"/>
      <c r="C630" s="3"/>
      <c r="D630" s="3"/>
      <c r="E630" s="3"/>
      <c r="F630" s="32"/>
      <c r="G630" s="1"/>
      <c r="H630" s="3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25.5" customHeight="1">
      <c r="A631" s="3"/>
      <c r="B631" s="3"/>
      <c r="C631" s="3"/>
      <c r="D631" s="3"/>
      <c r="E631" s="3"/>
      <c r="F631" s="32"/>
      <c r="G631" s="1"/>
      <c r="H631" s="3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25.5" customHeight="1">
      <c r="A632" s="3"/>
      <c r="B632" s="3"/>
      <c r="C632" s="3"/>
      <c r="D632" s="3"/>
      <c r="E632" s="3"/>
      <c r="F632" s="32"/>
      <c r="G632" s="1"/>
      <c r="H632" s="3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25.5" customHeight="1">
      <c r="A633" s="3"/>
      <c r="B633" s="3"/>
      <c r="C633" s="3"/>
      <c r="D633" s="3"/>
      <c r="E633" s="3"/>
      <c r="F633" s="32"/>
      <c r="G633" s="1"/>
      <c r="H633" s="3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25.5" customHeight="1">
      <c r="A634" s="3"/>
      <c r="B634" s="3"/>
      <c r="C634" s="3"/>
      <c r="D634" s="3"/>
      <c r="E634" s="3"/>
      <c r="F634" s="32"/>
      <c r="G634" s="1"/>
      <c r="H634" s="3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25.5" customHeight="1">
      <c r="A635" s="3"/>
      <c r="B635" s="3"/>
      <c r="C635" s="3"/>
      <c r="D635" s="3"/>
      <c r="E635" s="3"/>
      <c r="F635" s="32"/>
      <c r="G635" s="1"/>
      <c r="H635" s="3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25.5" customHeight="1">
      <c r="A636" s="3"/>
      <c r="B636" s="3"/>
      <c r="C636" s="3"/>
      <c r="D636" s="3"/>
      <c r="E636" s="3"/>
      <c r="F636" s="32"/>
      <c r="G636" s="1"/>
      <c r="H636" s="3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25.5" customHeight="1">
      <c r="A637" s="3"/>
      <c r="B637" s="3"/>
      <c r="C637" s="3"/>
      <c r="D637" s="3"/>
      <c r="E637" s="3"/>
      <c r="F637" s="32"/>
      <c r="G637" s="1"/>
      <c r="H637" s="3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25.5" customHeight="1">
      <c r="A638" s="3"/>
      <c r="B638" s="3"/>
      <c r="C638" s="3"/>
      <c r="D638" s="3"/>
      <c r="E638" s="3"/>
      <c r="F638" s="32"/>
      <c r="G638" s="1"/>
      <c r="H638" s="3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25.5" customHeight="1">
      <c r="A639" s="3"/>
      <c r="B639" s="3"/>
      <c r="C639" s="3"/>
      <c r="D639" s="3"/>
      <c r="E639" s="3"/>
      <c r="F639" s="32"/>
      <c r="G639" s="1"/>
      <c r="H639" s="3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25.5" customHeight="1">
      <c r="A640" s="3"/>
      <c r="B640" s="3"/>
      <c r="C640" s="3"/>
      <c r="D640" s="3"/>
      <c r="E640" s="3"/>
      <c r="F640" s="32"/>
      <c r="G640" s="1"/>
      <c r="H640" s="3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25.5" customHeight="1">
      <c r="A641" s="3"/>
      <c r="B641" s="3"/>
      <c r="C641" s="3"/>
      <c r="D641" s="3"/>
      <c r="E641" s="3"/>
      <c r="F641" s="32"/>
      <c r="G641" s="1"/>
      <c r="H641" s="3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25.5" customHeight="1">
      <c r="A642" s="3"/>
      <c r="B642" s="3"/>
      <c r="C642" s="3"/>
      <c r="D642" s="3"/>
      <c r="E642" s="3"/>
      <c r="F642" s="32"/>
      <c r="G642" s="1"/>
      <c r="H642" s="3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25.5" customHeight="1">
      <c r="A643" s="3"/>
      <c r="B643" s="3"/>
      <c r="C643" s="3"/>
      <c r="D643" s="3"/>
      <c r="E643" s="3"/>
      <c r="F643" s="32"/>
      <c r="G643" s="1"/>
      <c r="H643" s="3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25.5" customHeight="1">
      <c r="A644" s="3"/>
      <c r="B644" s="3"/>
      <c r="C644" s="3"/>
      <c r="D644" s="3"/>
      <c r="E644" s="3"/>
      <c r="F644" s="32"/>
      <c r="G644" s="1"/>
      <c r="H644" s="3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25.5" customHeight="1">
      <c r="A645" s="3"/>
      <c r="B645" s="3"/>
      <c r="C645" s="3"/>
      <c r="D645" s="3"/>
      <c r="E645" s="3"/>
      <c r="F645" s="32"/>
      <c r="G645" s="1"/>
      <c r="H645" s="3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25.5" customHeight="1">
      <c r="A646" s="3"/>
      <c r="B646" s="3"/>
      <c r="C646" s="3"/>
      <c r="D646" s="3"/>
      <c r="E646" s="3"/>
      <c r="F646" s="32"/>
      <c r="G646" s="1"/>
      <c r="H646" s="3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25.5" customHeight="1">
      <c r="A647" s="3"/>
      <c r="B647" s="3"/>
      <c r="C647" s="3"/>
      <c r="D647" s="3"/>
      <c r="E647" s="3"/>
      <c r="F647" s="32"/>
      <c r="G647" s="1"/>
      <c r="H647" s="3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25.5" customHeight="1">
      <c r="A648" s="3"/>
      <c r="B648" s="3"/>
      <c r="C648" s="3"/>
      <c r="D648" s="3"/>
      <c r="E648" s="3"/>
      <c r="F648" s="32"/>
      <c r="G648" s="1"/>
      <c r="H648" s="3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25.5" customHeight="1">
      <c r="A649" s="3"/>
      <c r="B649" s="3"/>
      <c r="C649" s="3"/>
      <c r="D649" s="3"/>
      <c r="E649" s="3"/>
      <c r="F649" s="32"/>
      <c r="G649" s="1"/>
      <c r="H649" s="3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25.5" customHeight="1">
      <c r="A650" s="3"/>
      <c r="B650" s="3"/>
      <c r="C650" s="3"/>
      <c r="D650" s="3"/>
      <c r="E650" s="3"/>
      <c r="F650" s="32"/>
      <c r="G650" s="1"/>
      <c r="H650" s="3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25.5" customHeight="1">
      <c r="A651" s="3"/>
      <c r="B651" s="3"/>
      <c r="C651" s="3"/>
      <c r="D651" s="3"/>
      <c r="E651" s="3"/>
      <c r="F651" s="32"/>
      <c r="G651" s="1"/>
      <c r="H651" s="3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25.5" customHeight="1">
      <c r="A652" s="3"/>
      <c r="B652" s="3"/>
      <c r="C652" s="3"/>
      <c r="D652" s="3"/>
      <c r="E652" s="3"/>
      <c r="F652" s="32"/>
      <c r="G652" s="1"/>
      <c r="H652" s="3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25.5" customHeight="1">
      <c r="A653" s="3"/>
      <c r="B653" s="3"/>
      <c r="C653" s="3"/>
      <c r="D653" s="3"/>
      <c r="E653" s="3"/>
      <c r="F653" s="32"/>
      <c r="G653" s="1"/>
      <c r="H653" s="3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25.5" customHeight="1">
      <c r="A654" s="3"/>
      <c r="B654" s="3"/>
      <c r="C654" s="3"/>
      <c r="D654" s="3"/>
      <c r="E654" s="3"/>
      <c r="F654" s="32"/>
      <c r="G654" s="1"/>
      <c r="H654" s="3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25.5" customHeight="1">
      <c r="A655" s="3"/>
      <c r="B655" s="3"/>
      <c r="C655" s="3"/>
      <c r="D655" s="3"/>
      <c r="E655" s="3"/>
      <c r="F655" s="32"/>
      <c r="G655" s="1"/>
      <c r="H655" s="3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25.5" customHeight="1">
      <c r="A656" s="3"/>
      <c r="B656" s="3"/>
      <c r="C656" s="3"/>
      <c r="D656" s="3"/>
      <c r="E656" s="3"/>
      <c r="F656" s="32"/>
      <c r="G656" s="1"/>
      <c r="H656" s="3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25.5" customHeight="1">
      <c r="A657" s="3"/>
      <c r="B657" s="3"/>
      <c r="C657" s="3"/>
      <c r="D657" s="3"/>
      <c r="E657" s="3"/>
      <c r="F657" s="32"/>
      <c r="G657" s="1"/>
      <c r="H657" s="3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25.5" customHeight="1">
      <c r="A658" s="3"/>
      <c r="B658" s="3"/>
      <c r="C658" s="3"/>
      <c r="D658" s="3"/>
      <c r="E658" s="3"/>
      <c r="F658" s="32"/>
      <c r="G658" s="1"/>
      <c r="H658" s="3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25.5" customHeight="1">
      <c r="A659" s="3"/>
      <c r="B659" s="3"/>
      <c r="C659" s="3"/>
      <c r="D659" s="3"/>
      <c r="E659" s="3"/>
      <c r="F659" s="32"/>
      <c r="G659" s="1"/>
      <c r="H659" s="3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25.5" customHeight="1">
      <c r="A660" s="3"/>
      <c r="B660" s="3"/>
      <c r="C660" s="3"/>
      <c r="D660" s="3"/>
      <c r="E660" s="3"/>
      <c r="F660" s="32"/>
      <c r="G660" s="1"/>
      <c r="H660" s="3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25.5" customHeight="1">
      <c r="A661" s="3"/>
      <c r="B661" s="3"/>
      <c r="C661" s="3"/>
      <c r="D661" s="3"/>
      <c r="E661" s="3"/>
      <c r="F661" s="32"/>
      <c r="G661" s="1"/>
      <c r="H661" s="3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25.5" customHeight="1">
      <c r="A662" s="3"/>
      <c r="B662" s="3"/>
      <c r="C662" s="3"/>
      <c r="D662" s="3"/>
      <c r="E662" s="3"/>
      <c r="F662" s="32"/>
      <c r="G662" s="1"/>
      <c r="H662" s="3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25.5" customHeight="1">
      <c r="A663" s="3"/>
      <c r="B663" s="3"/>
      <c r="C663" s="3"/>
      <c r="D663" s="3"/>
      <c r="E663" s="3"/>
      <c r="F663" s="32"/>
      <c r="G663" s="1"/>
      <c r="H663" s="3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25.5" customHeight="1">
      <c r="A664" s="3"/>
      <c r="B664" s="3"/>
      <c r="C664" s="3"/>
      <c r="D664" s="3"/>
      <c r="E664" s="3"/>
      <c r="F664" s="32"/>
      <c r="G664" s="1"/>
      <c r="H664" s="3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25.5" customHeight="1">
      <c r="A665" s="3"/>
      <c r="B665" s="3"/>
      <c r="C665" s="3"/>
      <c r="D665" s="3"/>
      <c r="E665" s="3"/>
      <c r="F665" s="32"/>
      <c r="G665" s="1"/>
      <c r="H665" s="3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25.5" customHeight="1">
      <c r="A666" s="3"/>
      <c r="B666" s="3"/>
      <c r="C666" s="3"/>
      <c r="D666" s="3"/>
      <c r="E666" s="3"/>
      <c r="F666" s="32"/>
      <c r="G666" s="1"/>
      <c r="H666" s="3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25.5" customHeight="1">
      <c r="A667" s="3"/>
      <c r="B667" s="3"/>
      <c r="C667" s="3"/>
      <c r="D667" s="3"/>
      <c r="E667" s="3"/>
      <c r="F667" s="32"/>
      <c r="G667" s="1"/>
      <c r="H667" s="3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25.5" customHeight="1">
      <c r="A668" s="3"/>
      <c r="B668" s="3"/>
      <c r="C668" s="3"/>
      <c r="D668" s="3"/>
      <c r="E668" s="3"/>
      <c r="F668" s="32"/>
      <c r="G668" s="1"/>
      <c r="H668" s="3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25.5" customHeight="1">
      <c r="A669" s="3"/>
      <c r="B669" s="3"/>
      <c r="C669" s="3"/>
      <c r="D669" s="3"/>
      <c r="E669" s="3"/>
      <c r="F669" s="32"/>
      <c r="G669" s="1"/>
      <c r="H669" s="3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25.5" customHeight="1">
      <c r="A670" s="3"/>
      <c r="B670" s="3"/>
      <c r="C670" s="3"/>
      <c r="D670" s="3"/>
      <c r="E670" s="3"/>
      <c r="F670" s="32"/>
      <c r="G670" s="1"/>
      <c r="H670" s="3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25.5" customHeight="1">
      <c r="A671" s="3"/>
      <c r="B671" s="3"/>
      <c r="C671" s="3"/>
      <c r="D671" s="3"/>
      <c r="E671" s="3"/>
      <c r="F671" s="32"/>
      <c r="G671" s="1"/>
      <c r="H671" s="3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25.5" customHeight="1">
      <c r="A672" s="3"/>
      <c r="B672" s="3"/>
      <c r="C672" s="3"/>
      <c r="D672" s="3"/>
      <c r="E672" s="3"/>
      <c r="F672" s="32"/>
      <c r="G672" s="1"/>
      <c r="H672" s="3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25.5" customHeight="1">
      <c r="A673" s="3"/>
      <c r="B673" s="3"/>
      <c r="C673" s="3"/>
      <c r="D673" s="3"/>
      <c r="E673" s="3"/>
      <c r="F673" s="32"/>
      <c r="G673" s="1"/>
      <c r="H673" s="3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25.5" customHeight="1">
      <c r="A674" s="3"/>
      <c r="B674" s="3"/>
      <c r="C674" s="3"/>
      <c r="D674" s="3"/>
      <c r="E674" s="3"/>
      <c r="F674" s="32"/>
      <c r="G674" s="1"/>
      <c r="H674" s="3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25.5" customHeight="1">
      <c r="A675" s="3"/>
      <c r="B675" s="3"/>
      <c r="C675" s="3"/>
      <c r="D675" s="3"/>
      <c r="E675" s="3"/>
      <c r="F675" s="32"/>
      <c r="G675" s="1"/>
      <c r="H675" s="3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25.5" customHeight="1">
      <c r="A676" s="3"/>
      <c r="B676" s="3"/>
      <c r="C676" s="3"/>
      <c r="D676" s="3"/>
      <c r="E676" s="3"/>
      <c r="F676" s="32"/>
      <c r="G676" s="1"/>
      <c r="H676" s="3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25.5" customHeight="1">
      <c r="A677" s="3"/>
      <c r="B677" s="3"/>
      <c r="C677" s="3"/>
      <c r="D677" s="3"/>
      <c r="E677" s="3"/>
      <c r="F677" s="32"/>
      <c r="G677" s="1"/>
      <c r="H677" s="3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25.5" customHeight="1">
      <c r="A678" s="3"/>
      <c r="B678" s="3"/>
      <c r="C678" s="3"/>
      <c r="D678" s="3"/>
      <c r="E678" s="3"/>
      <c r="F678" s="32"/>
      <c r="G678" s="1"/>
      <c r="H678" s="3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25.5" customHeight="1">
      <c r="A679" s="3"/>
      <c r="B679" s="3"/>
      <c r="C679" s="3"/>
      <c r="D679" s="3"/>
      <c r="E679" s="3"/>
      <c r="F679" s="32"/>
      <c r="G679" s="1"/>
      <c r="H679" s="3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25.5" customHeight="1">
      <c r="A680" s="3"/>
      <c r="B680" s="3"/>
      <c r="C680" s="3"/>
      <c r="D680" s="3"/>
      <c r="E680" s="3"/>
      <c r="F680" s="32"/>
      <c r="G680" s="1"/>
      <c r="H680" s="3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25.5" customHeight="1">
      <c r="A681" s="3"/>
      <c r="B681" s="3"/>
      <c r="C681" s="3"/>
      <c r="D681" s="3"/>
      <c r="E681" s="3"/>
      <c r="F681" s="32"/>
      <c r="G681" s="1"/>
      <c r="H681" s="3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25.5" customHeight="1">
      <c r="A682" s="3"/>
      <c r="B682" s="3"/>
      <c r="C682" s="3"/>
      <c r="D682" s="3"/>
      <c r="E682" s="3"/>
      <c r="F682" s="32"/>
      <c r="G682" s="1"/>
      <c r="H682" s="3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25.5" customHeight="1">
      <c r="A683" s="3"/>
      <c r="B683" s="3"/>
      <c r="C683" s="3"/>
      <c r="D683" s="3"/>
      <c r="E683" s="3"/>
      <c r="F683" s="32"/>
      <c r="G683" s="1"/>
      <c r="H683" s="3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25.5" customHeight="1">
      <c r="A684" s="3"/>
      <c r="B684" s="3"/>
      <c r="C684" s="3"/>
      <c r="D684" s="3"/>
      <c r="E684" s="3"/>
      <c r="F684" s="32"/>
      <c r="G684" s="1"/>
      <c r="H684" s="3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25.5" customHeight="1">
      <c r="A685" s="3"/>
      <c r="B685" s="3"/>
      <c r="C685" s="3"/>
      <c r="D685" s="3"/>
      <c r="E685" s="3"/>
      <c r="F685" s="32"/>
      <c r="G685" s="1"/>
      <c r="H685" s="3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25.5" customHeight="1">
      <c r="A686" s="3"/>
      <c r="B686" s="3"/>
      <c r="C686" s="3"/>
      <c r="D686" s="3"/>
      <c r="E686" s="3"/>
      <c r="F686" s="32"/>
      <c r="G686" s="1"/>
      <c r="H686" s="3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25.5" customHeight="1">
      <c r="A687" s="3"/>
      <c r="B687" s="3"/>
      <c r="C687" s="3"/>
      <c r="D687" s="3"/>
      <c r="E687" s="3"/>
      <c r="F687" s="32"/>
      <c r="G687" s="1"/>
      <c r="H687" s="3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25.5" customHeight="1">
      <c r="A688" s="3"/>
      <c r="B688" s="3"/>
      <c r="C688" s="3"/>
      <c r="D688" s="3"/>
      <c r="E688" s="3"/>
      <c r="F688" s="32"/>
      <c r="G688" s="1"/>
      <c r="H688" s="3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25.5" customHeight="1">
      <c r="A689" s="3"/>
      <c r="B689" s="3"/>
      <c r="C689" s="3"/>
      <c r="D689" s="3"/>
      <c r="E689" s="3"/>
      <c r="F689" s="32"/>
      <c r="G689" s="1"/>
      <c r="H689" s="3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25.5" customHeight="1">
      <c r="A690" s="3"/>
      <c r="B690" s="3"/>
      <c r="C690" s="3"/>
      <c r="D690" s="3"/>
      <c r="E690" s="3"/>
      <c r="F690" s="32"/>
      <c r="G690" s="1"/>
      <c r="H690" s="3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25.5" customHeight="1">
      <c r="A691" s="3"/>
      <c r="B691" s="3"/>
      <c r="C691" s="3"/>
      <c r="D691" s="3"/>
      <c r="E691" s="3"/>
      <c r="F691" s="32"/>
      <c r="G691" s="1"/>
      <c r="H691" s="3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25.5" customHeight="1">
      <c r="A692" s="3"/>
      <c r="B692" s="3"/>
      <c r="C692" s="3"/>
      <c r="D692" s="3"/>
      <c r="E692" s="3"/>
      <c r="F692" s="32"/>
      <c r="G692" s="1"/>
      <c r="H692" s="3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25.5" customHeight="1">
      <c r="A693" s="3"/>
      <c r="B693" s="3"/>
      <c r="C693" s="3"/>
      <c r="D693" s="3"/>
      <c r="E693" s="3"/>
      <c r="F693" s="32"/>
      <c r="G693" s="1"/>
      <c r="H693" s="3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25.5" customHeight="1">
      <c r="A694" s="3"/>
      <c r="B694" s="3"/>
      <c r="C694" s="3"/>
      <c r="D694" s="3"/>
      <c r="E694" s="3"/>
      <c r="F694" s="32"/>
      <c r="G694" s="1"/>
      <c r="H694" s="3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25.5" customHeight="1">
      <c r="A695" s="3"/>
      <c r="B695" s="3"/>
      <c r="C695" s="3"/>
      <c r="D695" s="3"/>
      <c r="E695" s="3"/>
      <c r="F695" s="32"/>
      <c r="G695" s="1"/>
      <c r="H695" s="3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25.5" customHeight="1">
      <c r="A696" s="3"/>
      <c r="B696" s="3"/>
      <c r="C696" s="3"/>
      <c r="D696" s="3"/>
      <c r="E696" s="3"/>
      <c r="F696" s="32"/>
      <c r="G696" s="1"/>
      <c r="H696" s="3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25.5" customHeight="1">
      <c r="A697" s="3"/>
      <c r="B697" s="3"/>
      <c r="C697" s="3"/>
      <c r="D697" s="3"/>
      <c r="E697" s="3"/>
      <c r="F697" s="32"/>
      <c r="G697" s="1"/>
      <c r="H697" s="3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25.5" customHeight="1">
      <c r="A698" s="3"/>
      <c r="B698" s="3"/>
      <c r="C698" s="3"/>
      <c r="D698" s="3"/>
      <c r="E698" s="3"/>
      <c r="F698" s="32"/>
      <c r="G698" s="1"/>
      <c r="H698" s="3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25.5" customHeight="1">
      <c r="A699" s="3"/>
      <c r="B699" s="3"/>
      <c r="C699" s="3"/>
      <c r="D699" s="3"/>
      <c r="E699" s="3"/>
      <c r="F699" s="32"/>
      <c r="G699" s="1"/>
      <c r="H699" s="3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25.5" customHeight="1">
      <c r="A700" s="3"/>
      <c r="B700" s="3"/>
      <c r="C700" s="3"/>
      <c r="D700" s="3"/>
      <c r="E700" s="3"/>
      <c r="F700" s="32"/>
      <c r="G700" s="1"/>
      <c r="H700" s="3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25.5" customHeight="1">
      <c r="A701" s="3"/>
      <c r="B701" s="3"/>
      <c r="C701" s="3"/>
      <c r="D701" s="3"/>
      <c r="E701" s="3"/>
      <c r="F701" s="32"/>
      <c r="G701" s="1"/>
      <c r="H701" s="3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25.5" customHeight="1">
      <c r="A702" s="3"/>
      <c r="B702" s="3"/>
      <c r="C702" s="3"/>
      <c r="D702" s="3"/>
      <c r="E702" s="3"/>
      <c r="F702" s="32"/>
      <c r="G702" s="1"/>
      <c r="H702" s="3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25.5" customHeight="1">
      <c r="A703" s="3"/>
      <c r="B703" s="3"/>
      <c r="C703" s="3"/>
      <c r="D703" s="3"/>
      <c r="E703" s="3"/>
      <c r="F703" s="32"/>
      <c r="G703" s="1"/>
      <c r="H703" s="3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25.5" customHeight="1">
      <c r="A704" s="3"/>
      <c r="B704" s="3"/>
      <c r="C704" s="3"/>
      <c r="D704" s="3"/>
      <c r="E704" s="3"/>
      <c r="F704" s="32"/>
      <c r="G704" s="1"/>
      <c r="H704" s="3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25.5" customHeight="1">
      <c r="A705" s="3"/>
      <c r="B705" s="3"/>
      <c r="C705" s="3"/>
      <c r="D705" s="3"/>
      <c r="E705" s="3"/>
      <c r="F705" s="32"/>
      <c r="G705" s="1"/>
      <c r="H705" s="3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25.5" customHeight="1">
      <c r="A706" s="3"/>
      <c r="B706" s="3"/>
      <c r="C706" s="3"/>
      <c r="D706" s="3"/>
      <c r="E706" s="3"/>
      <c r="F706" s="32"/>
      <c r="G706" s="1"/>
      <c r="H706" s="3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25.5" customHeight="1">
      <c r="A707" s="3"/>
      <c r="B707" s="3"/>
      <c r="C707" s="3"/>
      <c r="D707" s="3"/>
      <c r="E707" s="3"/>
      <c r="F707" s="32"/>
      <c r="G707" s="1"/>
      <c r="H707" s="3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25.5" customHeight="1">
      <c r="A708" s="3"/>
      <c r="B708" s="3"/>
      <c r="C708" s="3"/>
      <c r="D708" s="3"/>
      <c r="E708" s="3"/>
      <c r="F708" s="32"/>
      <c r="G708" s="1"/>
      <c r="H708" s="3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25.5" customHeight="1">
      <c r="A709" s="3"/>
      <c r="B709" s="3"/>
      <c r="C709" s="3"/>
      <c r="D709" s="3"/>
      <c r="E709" s="3"/>
      <c r="F709" s="32"/>
      <c r="G709" s="1"/>
      <c r="H709" s="3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25.5" customHeight="1">
      <c r="A710" s="3"/>
      <c r="B710" s="3"/>
      <c r="C710" s="3"/>
      <c r="D710" s="3"/>
      <c r="E710" s="3"/>
      <c r="F710" s="32"/>
      <c r="G710" s="1"/>
      <c r="H710" s="3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25.5" customHeight="1">
      <c r="A711" s="3"/>
      <c r="B711" s="3"/>
      <c r="C711" s="3"/>
      <c r="D711" s="3"/>
      <c r="E711" s="3"/>
      <c r="F711" s="32"/>
      <c r="G711" s="1"/>
      <c r="H711" s="3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25.5" customHeight="1">
      <c r="A712" s="3"/>
      <c r="B712" s="3"/>
      <c r="C712" s="3"/>
      <c r="D712" s="3"/>
      <c r="E712" s="3"/>
      <c r="F712" s="32"/>
      <c r="G712" s="1"/>
      <c r="H712" s="3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25.5" customHeight="1">
      <c r="A713" s="3"/>
      <c r="B713" s="3"/>
      <c r="C713" s="3"/>
      <c r="D713" s="3"/>
      <c r="E713" s="3"/>
      <c r="F713" s="32"/>
      <c r="G713" s="1"/>
      <c r="H713" s="3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25.5" customHeight="1">
      <c r="A714" s="3"/>
      <c r="B714" s="3"/>
      <c r="C714" s="3"/>
      <c r="D714" s="3"/>
      <c r="E714" s="3"/>
      <c r="F714" s="32"/>
      <c r="G714" s="1"/>
      <c r="H714" s="3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25.5" customHeight="1">
      <c r="A715" s="3"/>
      <c r="B715" s="3"/>
      <c r="C715" s="3"/>
      <c r="D715" s="3"/>
      <c r="E715" s="3"/>
      <c r="F715" s="32"/>
      <c r="G715" s="1"/>
      <c r="H715" s="3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25.5" customHeight="1">
      <c r="A716" s="3"/>
      <c r="B716" s="3"/>
      <c r="C716" s="3"/>
      <c r="D716" s="3"/>
      <c r="E716" s="3"/>
      <c r="F716" s="32"/>
      <c r="G716" s="1"/>
      <c r="H716" s="3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25.5" customHeight="1">
      <c r="A717" s="3"/>
      <c r="B717" s="3"/>
      <c r="C717" s="3"/>
      <c r="D717" s="3"/>
      <c r="E717" s="3"/>
      <c r="F717" s="32"/>
      <c r="G717" s="1"/>
      <c r="H717" s="3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25.5" customHeight="1">
      <c r="A718" s="3"/>
      <c r="B718" s="3"/>
      <c r="C718" s="3"/>
      <c r="D718" s="3"/>
      <c r="E718" s="3"/>
      <c r="F718" s="32"/>
      <c r="G718" s="1"/>
      <c r="H718" s="3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25.5" customHeight="1">
      <c r="A719" s="3"/>
      <c r="B719" s="3"/>
      <c r="C719" s="3"/>
      <c r="D719" s="3"/>
      <c r="E719" s="3"/>
      <c r="F719" s="32"/>
      <c r="G719" s="1"/>
      <c r="H719" s="3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25.5" customHeight="1">
      <c r="A720" s="3"/>
      <c r="B720" s="3"/>
      <c r="C720" s="3"/>
      <c r="D720" s="3"/>
      <c r="E720" s="3"/>
      <c r="F720" s="32"/>
      <c r="G720" s="1"/>
      <c r="H720" s="3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25.5" customHeight="1">
      <c r="A721" s="3"/>
      <c r="B721" s="3"/>
      <c r="C721" s="3"/>
      <c r="D721" s="3"/>
      <c r="E721" s="3"/>
      <c r="F721" s="32"/>
      <c r="G721" s="1"/>
      <c r="H721" s="3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25.5" customHeight="1">
      <c r="A722" s="3"/>
      <c r="B722" s="3"/>
      <c r="C722" s="3"/>
      <c r="D722" s="3"/>
      <c r="E722" s="3"/>
      <c r="F722" s="32"/>
      <c r="G722" s="1"/>
      <c r="H722" s="3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25.5" customHeight="1">
      <c r="A723" s="3"/>
      <c r="B723" s="3"/>
      <c r="C723" s="3"/>
      <c r="D723" s="3"/>
      <c r="E723" s="3"/>
      <c r="F723" s="32"/>
      <c r="G723" s="1"/>
      <c r="H723" s="3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25.5" customHeight="1">
      <c r="A724" s="3"/>
      <c r="B724" s="3"/>
      <c r="C724" s="3"/>
      <c r="D724" s="3"/>
      <c r="E724" s="3"/>
      <c r="F724" s="32"/>
      <c r="G724" s="1"/>
      <c r="H724" s="3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25.5" customHeight="1">
      <c r="A725" s="3"/>
      <c r="B725" s="3"/>
      <c r="C725" s="3"/>
      <c r="D725" s="3"/>
      <c r="E725" s="3"/>
      <c r="F725" s="32"/>
      <c r="G725" s="1"/>
      <c r="H725" s="3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25.5" customHeight="1">
      <c r="A726" s="3"/>
      <c r="B726" s="3"/>
      <c r="C726" s="3"/>
      <c r="D726" s="3"/>
      <c r="E726" s="3"/>
      <c r="F726" s="32"/>
      <c r="G726" s="1"/>
      <c r="H726" s="3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25.5" customHeight="1">
      <c r="A727" s="3"/>
      <c r="B727" s="3"/>
      <c r="C727" s="3"/>
      <c r="D727" s="3"/>
      <c r="E727" s="3"/>
      <c r="F727" s="32"/>
      <c r="G727" s="1"/>
      <c r="H727" s="3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25.5" customHeight="1">
      <c r="A728" s="3"/>
      <c r="B728" s="3"/>
      <c r="C728" s="3"/>
      <c r="D728" s="3"/>
      <c r="E728" s="3"/>
      <c r="F728" s="32"/>
      <c r="G728" s="1"/>
      <c r="H728" s="3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25.5" customHeight="1">
      <c r="A729" s="3"/>
      <c r="B729" s="3"/>
      <c r="C729" s="3"/>
      <c r="D729" s="3"/>
      <c r="E729" s="3"/>
      <c r="F729" s="32"/>
      <c r="G729" s="1"/>
      <c r="H729" s="3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25.5" customHeight="1">
      <c r="A730" s="3"/>
      <c r="B730" s="3"/>
      <c r="C730" s="3"/>
      <c r="D730" s="3"/>
      <c r="E730" s="3"/>
      <c r="F730" s="32"/>
      <c r="G730" s="1"/>
      <c r="H730" s="3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25.5" customHeight="1">
      <c r="A731" s="3"/>
      <c r="B731" s="3"/>
      <c r="C731" s="3"/>
      <c r="D731" s="3"/>
      <c r="E731" s="3"/>
      <c r="F731" s="32"/>
      <c r="G731" s="1"/>
      <c r="H731" s="3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25.5" customHeight="1">
      <c r="A732" s="3"/>
      <c r="B732" s="3"/>
      <c r="C732" s="3"/>
      <c r="D732" s="3"/>
      <c r="E732" s="3"/>
      <c r="F732" s="32"/>
      <c r="G732" s="1"/>
      <c r="H732" s="3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25.5" customHeight="1">
      <c r="A733" s="3"/>
      <c r="B733" s="3"/>
      <c r="C733" s="3"/>
      <c r="D733" s="3"/>
      <c r="E733" s="3"/>
      <c r="F733" s="32"/>
      <c r="G733" s="1"/>
      <c r="H733" s="3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25.5" customHeight="1">
      <c r="A734" s="3"/>
      <c r="B734" s="3"/>
      <c r="C734" s="3"/>
      <c r="D734" s="3"/>
      <c r="E734" s="3"/>
      <c r="F734" s="32"/>
      <c r="G734" s="1"/>
      <c r="H734" s="3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25.5" customHeight="1">
      <c r="A735" s="3"/>
      <c r="B735" s="3"/>
      <c r="C735" s="3"/>
      <c r="D735" s="3"/>
      <c r="E735" s="3"/>
      <c r="F735" s="32"/>
      <c r="G735" s="1"/>
      <c r="H735" s="3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25.5" customHeight="1">
      <c r="A736" s="3"/>
      <c r="B736" s="3"/>
      <c r="C736" s="3"/>
      <c r="D736" s="3"/>
      <c r="E736" s="3"/>
      <c r="F736" s="32"/>
      <c r="G736" s="1"/>
      <c r="H736" s="3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25.5" customHeight="1">
      <c r="A737" s="3"/>
      <c r="B737" s="3"/>
      <c r="C737" s="3"/>
      <c r="D737" s="3"/>
      <c r="E737" s="3"/>
      <c r="F737" s="32"/>
      <c r="G737" s="1"/>
      <c r="H737" s="3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25.5" customHeight="1">
      <c r="A738" s="3"/>
      <c r="B738" s="3"/>
      <c r="C738" s="3"/>
      <c r="D738" s="3"/>
      <c r="E738" s="3"/>
      <c r="F738" s="32"/>
      <c r="G738" s="1"/>
      <c r="H738" s="3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25.5" customHeight="1">
      <c r="A739" s="3"/>
      <c r="B739" s="3"/>
      <c r="C739" s="3"/>
      <c r="D739" s="3"/>
      <c r="E739" s="3"/>
      <c r="F739" s="32"/>
      <c r="G739" s="1"/>
      <c r="H739" s="3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25.5" customHeight="1">
      <c r="A740" s="3"/>
      <c r="B740" s="3"/>
      <c r="C740" s="3"/>
      <c r="D740" s="3"/>
      <c r="E740" s="3"/>
      <c r="F740" s="32"/>
      <c r="G740" s="1"/>
      <c r="H740" s="3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25.5" customHeight="1">
      <c r="A741" s="3"/>
      <c r="B741" s="3"/>
      <c r="C741" s="3"/>
      <c r="D741" s="3"/>
      <c r="E741" s="3"/>
      <c r="F741" s="32"/>
      <c r="G741" s="1"/>
      <c r="H741" s="3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25.5" customHeight="1">
      <c r="A742" s="3"/>
      <c r="B742" s="3"/>
      <c r="C742" s="3"/>
      <c r="D742" s="3"/>
      <c r="E742" s="3"/>
      <c r="F742" s="32"/>
      <c r="G742" s="1"/>
      <c r="H742" s="3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25.5" customHeight="1">
      <c r="A743" s="3"/>
      <c r="B743" s="3"/>
      <c r="C743" s="3"/>
      <c r="D743" s="3"/>
      <c r="E743" s="3"/>
      <c r="F743" s="32"/>
      <c r="G743" s="1"/>
      <c r="H743" s="3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25.5" customHeight="1">
      <c r="A744" s="3"/>
      <c r="B744" s="3"/>
      <c r="C744" s="3"/>
      <c r="D744" s="3"/>
      <c r="E744" s="3"/>
      <c r="F744" s="32"/>
      <c r="G744" s="1"/>
      <c r="H744" s="3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25.5" customHeight="1">
      <c r="A745" s="3"/>
      <c r="B745" s="3"/>
      <c r="C745" s="3"/>
      <c r="D745" s="3"/>
      <c r="E745" s="3"/>
      <c r="F745" s="32"/>
      <c r="G745" s="1"/>
      <c r="H745" s="3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25.5" customHeight="1">
      <c r="A746" s="3"/>
      <c r="B746" s="3"/>
      <c r="C746" s="3"/>
      <c r="D746" s="3"/>
      <c r="E746" s="3"/>
      <c r="F746" s="32"/>
      <c r="G746" s="1"/>
      <c r="H746" s="3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25.5" customHeight="1">
      <c r="A747" s="3"/>
      <c r="B747" s="3"/>
      <c r="C747" s="3"/>
      <c r="D747" s="3"/>
      <c r="E747" s="3"/>
      <c r="F747" s="32"/>
      <c r="G747" s="1"/>
      <c r="H747" s="3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25.5" customHeight="1">
      <c r="A748" s="3"/>
      <c r="B748" s="3"/>
      <c r="C748" s="3"/>
      <c r="D748" s="3"/>
      <c r="E748" s="3"/>
      <c r="F748" s="32"/>
      <c r="G748" s="1"/>
      <c r="H748" s="3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25.5" customHeight="1">
      <c r="A749" s="3"/>
      <c r="B749" s="3"/>
      <c r="C749" s="3"/>
      <c r="D749" s="3"/>
      <c r="E749" s="3"/>
      <c r="F749" s="32"/>
      <c r="G749" s="1"/>
      <c r="H749" s="3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25.5" customHeight="1">
      <c r="A750" s="3"/>
      <c r="B750" s="3"/>
      <c r="C750" s="3"/>
      <c r="D750" s="3"/>
      <c r="E750" s="3"/>
      <c r="F750" s="32"/>
      <c r="G750" s="1"/>
      <c r="H750" s="3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25.5" customHeight="1">
      <c r="A751" s="3"/>
      <c r="B751" s="3"/>
      <c r="C751" s="3"/>
      <c r="D751" s="3"/>
      <c r="E751" s="3"/>
      <c r="F751" s="32"/>
      <c r="G751" s="1"/>
      <c r="H751" s="3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25.5" customHeight="1">
      <c r="A752" s="3"/>
      <c r="B752" s="3"/>
      <c r="C752" s="3"/>
      <c r="D752" s="3"/>
      <c r="E752" s="3"/>
      <c r="F752" s="32"/>
      <c r="G752" s="1"/>
      <c r="H752" s="3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25.5" customHeight="1">
      <c r="A753" s="3"/>
      <c r="B753" s="3"/>
      <c r="C753" s="3"/>
      <c r="D753" s="3"/>
      <c r="E753" s="3"/>
      <c r="F753" s="32"/>
      <c r="G753" s="1"/>
      <c r="H753" s="3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25.5" customHeight="1">
      <c r="A754" s="3"/>
      <c r="B754" s="3"/>
      <c r="C754" s="3"/>
      <c r="D754" s="3"/>
      <c r="E754" s="3"/>
      <c r="F754" s="32"/>
      <c r="G754" s="1"/>
      <c r="H754" s="3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25.5" customHeight="1">
      <c r="A755" s="3"/>
      <c r="B755" s="3"/>
      <c r="C755" s="3"/>
      <c r="D755" s="3"/>
      <c r="E755" s="3"/>
      <c r="F755" s="32"/>
      <c r="G755" s="1"/>
      <c r="H755" s="3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25.5" customHeight="1">
      <c r="A756" s="3"/>
      <c r="B756" s="3"/>
      <c r="C756" s="3"/>
      <c r="D756" s="3"/>
      <c r="E756" s="3"/>
      <c r="F756" s="32"/>
      <c r="G756" s="1"/>
      <c r="H756" s="3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25.5" customHeight="1">
      <c r="A757" s="3"/>
      <c r="B757" s="3"/>
      <c r="C757" s="3"/>
      <c r="D757" s="3"/>
      <c r="E757" s="3"/>
      <c r="F757" s="32"/>
      <c r="G757" s="1"/>
      <c r="H757" s="3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25.5" customHeight="1">
      <c r="A758" s="3"/>
      <c r="B758" s="3"/>
      <c r="C758" s="3"/>
      <c r="D758" s="3"/>
      <c r="E758" s="3"/>
      <c r="F758" s="32"/>
      <c r="G758" s="1"/>
      <c r="H758" s="3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25.5" customHeight="1">
      <c r="A759" s="3"/>
      <c r="B759" s="3"/>
      <c r="C759" s="3"/>
      <c r="D759" s="3"/>
      <c r="E759" s="3"/>
      <c r="F759" s="32"/>
      <c r="G759" s="1"/>
      <c r="H759" s="3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25.5" customHeight="1">
      <c r="A760" s="3"/>
      <c r="B760" s="3"/>
      <c r="C760" s="3"/>
      <c r="D760" s="3"/>
      <c r="E760" s="3"/>
      <c r="F760" s="32"/>
      <c r="G760" s="1"/>
      <c r="H760" s="3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25.5" customHeight="1">
      <c r="A761" s="3"/>
      <c r="B761" s="3"/>
      <c r="C761" s="3"/>
      <c r="D761" s="3"/>
      <c r="E761" s="3"/>
      <c r="F761" s="32"/>
      <c r="G761" s="1"/>
      <c r="H761" s="3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25.5" customHeight="1">
      <c r="A762" s="3"/>
      <c r="B762" s="3"/>
      <c r="C762" s="3"/>
      <c r="D762" s="3"/>
      <c r="E762" s="3"/>
      <c r="F762" s="32"/>
      <c r="G762" s="1"/>
      <c r="H762" s="3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25.5" customHeight="1">
      <c r="A763" s="3"/>
      <c r="B763" s="3"/>
      <c r="C763" s="3"/>
      <c r="D763" s="3"/>
      <c r="E763" s="3"/>
      <c r="F763" s="32"/>
      <c r="G763" s="1"/>
      <c r="H763" s="3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25.5" customHeight="1">
      <c r="A764" s="3"/>
      <c r="B764" s="3"/>
      <c r="C764" s="3"/>
      <c r="D764" s="3"/>
      <c r="E764" s="3"/>
      <c r="F764" s="32"/>
      <c r="G764" s="1"/>
      <c r="H764" s="3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25.5" customHeight="1">
      <c r="A765" s="3"/>
      <c r="B765" s="3"/>
      <c r="C765" s="3"/>
      <c r="D765" s="3"/>
      <c r="E765" s="3"/>
      <c r="F765" s="32"/>
      <c r="G765" s="1"/>
      <c r="H765" s="3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25.5" customHeight="1">
      <c r="A766" s="3"/>
      <c r="B766" s="3"/>
      <c r="C766" s="3"/>
      <c r="D766" s="3"/>
      <c r="E766" s="3"/>
      <c r="F766" s="32"/>
      <c r="G766" s="1"/>
      <c r="H766" s="3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25.5" customHeight="1">
      <c r="A767" s="3"/>
      <c r="B767" s="3"/>
      <c r="C767" s="3"/>
      <c r="D767" s="3"/>
      <c r="E767" s="3"/>
      <c r="F767" s="32"/>
      <c r="G767" s="1"/>
      <c r="H767" s="3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25.5" customHeight="1">
      <c r="A768" s="3"/>
      <c r="B768" s="3"/>
      <c r="C768" s="3"/>
      <c r="D768" s="3"/>
      <c r="E768" s="3"/>
      <c r="F768" s="32"/>
      <c r="G768" s="1"/>
      <c r="H768" s="3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25.5" customHeight="1">
      <c r="A769" s="3"/>
      <c r="B769" s="3"/>
      <c r="C769" s="3"/>
      <c r="D769" s="3"/>
      <c r="E769" s="3"/>
      <c r="F769" s="32"/>
      <c r="G769" s="1"/>
      <c r="H769" s="3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25.5" customHeight="1">
      <c r="A770" s="3"/>
      <c r="B770" s="3"/>
      <c r="C770" s="3"/>
      <c r="D770" s="3"/>
      <c r="E770" s="3"/>
      <c r="F770" s="32"/>
      <c r="G770" s="1"/>
      <c r="H770" s="3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25.5" customHeight="1">
      <c r="A771" s="3"/>
      <c r="B771" s="3"/>
      <c r="C771" s="3"/>
      <c r="D771" s="3"/>
      <c r="E771" s="3"/>
      <c r="F771" s="32"/>
      <c r="G771" s="1"/>
      <c r="H771" s="3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25.5" customHeight="1">
      <c r="A772" s="3"/>
      <c r="B772" s="3"/>
      <c r="C772" s="3"/>
      <c r="D772" s="3"/>
      <c r="E772" s="3"/>
      <c r="F772" s="32"/>
      <c r="G772" s="1"/>
      <c r="H772" s="3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25.5" customHeight="1">
      <c r="A773" s="3"/>
      <c r="B773" s="3"/>
      <c r="C773" s="3"/>
      <c r="D773" s="3"/>
      <c r="E773" s="3"/>
      <c r="F773" s="32"/>
      <c r="G773" s="1"/>
      <c r="H773" s="3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25.5" customHeight="1">
      <c r="A774" s="3"/>
      <c r="B774" s="3"/>
      <c r="C774" s="3"/>
      <c r="D774" s="3"/>
      <c r="E774" s="3"/>
      <c r="F774" s="32"/>
      <c r="G774" s="1"/>
      <c r="H774" s="3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25.5" customHeight="1">
      <c r="A775" s="3"/>
      <c r="B775" s="3"/>
      <c r="C775" s="3"/>
      <c r="D775" s="3"/>
      <c r="E775" s="3"/>
      <c r="F775" s="32"/>
      <c r="G775" s="1"/>
      <c r="H775" s="3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25.5" customHeight="1">
      <c r="A776" s="3"/>
      <c r="B776" s="3"/>
      <c r="C776" s="3"/>
      <c r="D776" s="3"/>
      <c r="E776" s="3"/>
      <c r="F776" s="32"/>
      <c r="G776" s="1"/>
      <c r="H776" s="3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25.5" customHeight="1">
      <c r="A777" s="3"/>
      <c r="B777" s="3"/>
      <c r="C777" s="3"/>
      <c r="D777" s="3"/>
      <c r="E777" s="3"/>
      <c r="F777" s="32"/>
      <c r="G777" s="1"/>
      <c r="H777" s="3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25.5" customHeight="1">
      <c r="A778" s="3"/>
      <c r="B778" s="3"/>
      <c r="C778" s="3"/>
      <c r="D778" s="3"/>
      <c r="E778" s="3"/>
      <c r="F778" s="32"/>
      <c r="G778" s="1"/>
      <c r="H778" s="3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25.5" customHeight="1">
      <c r="A779" s="3"/>
      <c r="B779" s="3"/>
      <c r="C779" s="3"/>
      <c r="D779" s="3"/>
      <c r="E779" s="3"/>
      <c r="F779" s="32"/>
      <c r="G779" s="1"/>
      <c r="H779" s="3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25.5" customHeight="1">
      <c r="A780" s="3"/>
      <c r="B780" s="3"/>
      <c r="C780" s="3"/>
      <c r="D780" s="3"/>
      <c r="E780" s="3"/>
      <c r="F780" s="32"/>
      <c r="G780" s="1"/>
      <c r="H780" s="3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25.5" customHeight="1">
      <c r="A781" s="3"/>
      <c r="B781" s="3"/>
      <c r="C781" s="3"/>
      <c r="D781" s="3"/>
      <c r="E781" s="3"/>
      <c r="F781" s="32"/>
      <c r="G781" s="1"/>
      <c r="H781" s="3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25.5" customHeight="1">
      <c r="A782" s="3"/>
      <c r="B782" s="3"/>
      <c r="C782" s="3"/>
      <c r="D782" s="3"/>
      <c r="E782" s="3"/>
      <c r="F782" s="32"/>
      <c r="G782" s="1"/>
      <c r="H782" s="3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25.5" customHeight="1">
      <c r="A783" s="3"/>
      <c r="B783" s="3"/>
      <c r="C783" s="3"/>
      <c r="D783" s="3"/>
      <c r="E783" s="3"/>
      <c r="F783" s="32"/>
      <c r="G783" s="1"/>
      <c r="H783" s="3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25.5" customHeight="1">
      <c r="A784" s="3"/>
      <c r="B784" s="3"/>
      <c r="C784" s="3"/>
      <c r="D784" s="3"/>
      <c r="E784" s="3"/>
      <c r="F784" s="32"/>
      <c r="G784" s="1"/>
      <c r="H784" s="3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25.5" customHeight="1">
      <c r="A785" s="3"/>
      <c r="B785" s="3"/>
      <c r="C785" s="3"/>
      <c r="D785" s="3"/>
      <c r="E785" s="3"/>
      <c r="F785" s="32"/>
      <c r="G785" s="1"/>
      <c r="H785" s="3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25.5" customHeight="1">
      <c r="A786" s="3"/>
      <c r="B786" s="3"/>
      <c r="C786" s="3"/>
      <c r="D786" s="3"/>
      <c r="E786" s="3"/>
      <c r="F786" s="32"/>
      <c r="G786" s="1"/>
      <c r="H786" s="3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25.5" customHeight="1">
      <c r="A787" s="3"/>
      <c r="B787" s="3"/>
      <c r="C787" s="3"/>
      <c r="D787" s="3"/>
      <c r="E787" s="3"/>
      <c r="F787" s="32"/>
      <c r="G787" s="1"/>
      <c r="H787" s="3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25.5" customHeight="1">
      <c r="A788" s="3"/>
      <c r="B788" s="3"/>
      <c r="C788" s="3"/>
      <c r="D788" s="3"/>
      <c r="E788" s="3"/>
      <c r="F788" s="32"/>
      <c r="G788" s="1"/>
      <c r="H788" s="3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25.5" customHeight="1">
      <c r="A789" s="3"/>
      <c r="B789" s="3"/>
      <c r="C789" s="3"/>
      <c r="D789" s="3"/>
      <c r="E789" s="3"/>
      <c r="F789" s="32"/>
      <c r="G789" s="1"/>
      <c r="H789" s="3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25.5" customHeight="1">
      <c r="A790" s="3"/>
      <c r="B790" s="3"/>
      <c r="C790" s="3"/>
      <c r="D790" s="3"/>
      <c r="E790" s="3"/>
      <c r="F790" s="32"/>
      <c r="G790" s="1"/>
      <c r="H790" s="3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25.5" customHeight="1">
      <c r="A791" s="3"/>
      <c r="B791" s="3"/>
      <c r="C791" s="3"/>
      <c r="D791" s="3"/>
      <c r="E791" s="3"/>
      <c r="F791" s="32"/>
      <c r="G791" s="1"/>
      <c r="H791" s="3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25.5" customHeight="1">
      <c r="A792" s="3"/>
      <c r="B792" s="3"/>
      <c r="C792" s="3"/>
      <c r="D792" s="3"/>
      <c r="E792" s="3"/>
      <c r="F792" s="32"/>
      <c r="G792" s="1"/>
      <c r="H792" s="3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25.5" customHeight="1">
      <c r="A793" s="3"/>
      <c r="B793" s="3"/>
      <c r="C793" s="3"/>
      <c r="D793" s="3"/>
      <c r="E793" s="3"/>
      <c r="F793" s="32"/>
      <c r="G793" s="1"/>
      <c r="H793" s="3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25.5" customHeight="1">
      <c r="A794" s="3"/>
      <c r="B794" s="3"/>
      <c r="C794" s="3"/>
      <c r="D794" s="3"/>
      <c r="E794" s="3"/>
      <c r="F794" s="32"/>
      <c r="G794" s="1"/>
      <c r="H794" s="3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25.5" customHeight="1">
      <c r="A795" s="3"/>
      <c r="B795" s="3"/>
      <c r="C795" s="3"/>
      <c r="D795" s="3"/>
      <c r="E795" s="3"/>
      <c r="F795" s="32"/>
      <c r="G795" s="1"/>
      <c r="H795" s="3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25.5" customHeight="1">
      <c r="A796" s="3"/>
      <c r="B796" s="3"/>
      <c r="C796" s="3"/>
      <c r="D796" s="3"/>
      <c r="E796" s="3"/>
      <c r="F796" s="32"/>
      <c r="G796" s="1"/>
      <c r="H796" s="3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25.5" customHeight="1">
      <c r="A797" s="3"/>
      <c r="B797" s="3"/>
      <c r="C797" s="3"/>
      <c r="D797" s="3"/>
      <c r="E797" s="3"/>
      <c r="F797" s="32"/>
      <c r="G797" s="1"/>
      <c r="H797" s="3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25.5" customHeight="1">
      <c r="A798" s="3"/>
      <c r="B798" s="3"/>
      <c r="C798" s="3"/>
      <c r="D798" s="3"/>
      <c r="E798" s="3"/>
      <c r="F798" s="32"/>
      <c r="G798" s="1"/>
      <c r="H798" s="3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25.5" customHeight="1">
      <c r="A799" s="3"/>
      <c r="B799" s="3"/>
      <c r="C799" s="3"/>
      <c r="D799" s="3"/>
      <c r="E799" s="3"/>
      <c r="F799" s="32"/>
      <c r="G799" s="1"/>
      <c r="H799" s="3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25.5" customHeight="1">
      <c r="A800" s="3"/>
      <c r="B800" s="3"/>
      <c r="C800" s="3"/>
      <c r="D800" s="3"/>
      <c r="E800" s="3"/>
      <c r="F800" s="32"/>
      <c r="G800" s="1"/>
      <c r="H800" s="3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25.5" customHeight="1">
      <c r="A801" s="3"/>
      <c r="B801" s="3"/>
      <c r="C801" s="3"/>
      <c r="D801" s="3"/>
      <c r="E801" s="3"/>
      <c r="F801" s="32"/>
      <c r="G801" s="1"/>
      <c r="H801" s="3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25.5" customHeight="1">
      <c r="A802" s="3"/>
      <c r="B802" s="3"/>
      <c r="C802" s="3"/>
      <c r="D802" s="3"/>
      <c r="E802" s="3"/>
      <c r="F802" s="32"/>
      <c r="G802" s="1"/>
      <c r="H802" s="3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25.5" customHeight="1">
      <c r="A803" s="3"/>
      <c r="B803" s="3"/>
      <c r="C803" s="3"/>
      <c r="D803" s="3"/>
      <c r="E803" s="3"/>
      <c r="F803" s="32"/>
      <c r="G803" s="1"/>
      <c r="H803" s="3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25.5" customHeight="1">
      <c r="A804" s="3"/>
      <c r="B804" s="3"/>
      <c r="C804" s="3"/>
      <c r="D804" s="3"/>
      <c r="E804" s="3"/>
      <c r="F804" s="32"/>
      <c r="G804" s="1"/>
      <c r="H804" s="3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25.5" customHeight="1">
      <c r="A805" s="3"/>
      <c r="B805" s="3"/>
      <c r="C805" s="3"/>
      <c r="D805" s="3"/>
      <c r="E805" s="3"/>
      <c r="F805" s="32"/>
      <c r="G805" s="1"/>
      <c r="H805" s="3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25.5" customHeight="1">
      <c r="A806" s="3"/>
      <c r="B806" s="3"/>
      <c r="C806" s="3"/>
      <c r="D806" s="3"/>
      <c r="E806" s="3"/>
      <c r="F806" s="32"/>
      <c r="G806" s="1"/>
      <c r="H806" s="3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25.5" customHeight="1">
      <c r="A807" s="3"/>
      <c r="B807" s="3"/>
      <c r="C807" s="3"/>
      <c r="D807" s="3"/>
      <c r="E807" s="3"/>
      <c r="F807" s="32"/>
      <c r="G807" s="1"/>
      <c r="H807" s="3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25.5" customHeight="1">
      <c r="A808" s="3"/>
      <c r="B808" s="3"/>
      <c r="C808" s="3"/>
      <c r="D808" s="3"/>
      <c r="E808" s="3"/>
      <c r="F808" s="32"/>
      <c r="G808" s="1"/>
      <c r="H808" s="3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25.5" customHeight="1">
      <c r="A809" s="3"/>
      <c r="B809" s="3"/>
      <c r="C809" s="3"/>
      <c r="D809" s="3"/>
      <c r="E809" s="3"/>
      <c r="F809" s="32"/>
      <c r="G809" s="1"/>
      <c r="H809" s="3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25.5" customHeight="1">
      <c r="A810" s="3"/>
      <c r="B810" s="3"/>
      <c r="C810" s="3"/>
      <c r="D810" s="3"/>
      <c r="E810" s="3"/>
      <c r="F810" s="32"/>
      <c r="G810" s="1"/>
      <c r="H810" s="3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25.5" customHeight="1">
      <c r="A811" s="3"/>
      <c r="B811" s="3"/>
      <c r="C811" s="3"/>
      <c r="D811" s="3"/>
      <c r="E811" s="3"/>
      <c r="F811" s="32"/>
      <c r="G811" s="1"/>
      <c r="H811" s="3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25.5" customHeight="1">
      <c r="A812" s="3"/>
      <c r="B812" s="3"/>
      <c r="C812" s="3"/>
      <c r="D812" s="3"/>
      <c r="E812" s="3"/>
      <c r="F812" s="32"/>
      <c r="G812" s="1"/>
      <c r="H812" s="3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25.5" customHeight="1">
      <c r="A813" s="3"/>
      <c r="B813" s="3"/>
      <c r="C813" s="3"/>
      <c r="D813" s="3"/>
      <c r="E813" s="3"/>
      <c r="F813" s="32"/>
      <c r="G813" s="1"/>
      <c r="H813" s="3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25.5" customHeight="1">
      <c r="A814" s="3"/>
      <c r="B814" s="3"/>
      <c r="C814" s="3"/>
      <c r="D814" s="3"/>
      <c r="E814" s="3"/>
      <c r="F814" s="32"/>
      <c r="G814" s="1"/>
      <c r="H814" s="3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25.5" customHeight="1">
      <c r="A815" s="3"/>
      <c r="B815" s="3"/>
      <c r="C815" s="3"/>
      <c r="D815" s="3"/>
      <c r="E815" s="3"/>
      <c r="F815" s="32"/>
      <c r="G815" s="1"/>
      <c r="H815" s="3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25.5" customHeight="1">
      <c r="A816" s="3"/>
      <c r="B816" s="3"/>
      <c r="C816" s="3"/>
      <c r="D816" s="3"/>
      <c r="E816" s="3"/>
      <c r="F816" s="32"/>
      <c r="G816" s="1"/>
      <c r="H816" s="3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25.5" customHeight="1">
      <c r="A817" s="3"/>
      <c r="B817" s="3"/>
      <c r="C817" s="3"/>
      <c r="D817" s="3"/>
      <c r="E817" s="3"/>
      <c r="F817" s="32"/>
      <c r="G817" s="1"/>
      <c r="H817" s="3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25.5" customHeight="1">
      <c r="A818" s="3"/>
      <c r="B818" s="3"/>
      <c r="C818" s="3"/>
      <c r="D818" s="3"/>
      <c r="E818" s="3"/>
      <c r="F818" s="32"/>
      <c r="G818" s="1"/>
      <c r="H818" s="3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25.5" customHeight="1">
      <c r="A819" s="3"/>
      <c r="B819" s="3"/>
      <c r="C819" s="3"/>
      <c r="D819" s="3"/>
      <c r="E819" s="3"/>
      <c r="F819" s="32"/>
      <c r="G819" s="1"/>
      <c r="H819" s="3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25.5" customHeight="1">
      <c r="A820" s="3"/>
      <c r="B820" s="3"/>
      <c r="C820" s="3"/>
      <c r="D820" s="3"/>
      <c r="E820" s="3"/>
      <c r="F820" s="32"/>
      <c r="G820" s="1"/>
      <c r="H820" s="3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25.5" customHeight="1">
      <c r="A821" s="3"/>
      <c r="B821" s="3"/>
      <c r="C821" s="3"/>
      <c r="D821" s="3"/>
      <c r="E821" s="3"/>
      <c r="F821" s="32"/>
      <c r="G821" s="1"/>
      <c r="H821" s="3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25.5" customHeight="1">
      <c r="A822" s="3"/>
      <c r="B822" s="3"/>
      <c r="C822" s="3"/>
      <c r="D822" s="3"/>
      <c r="E822" s="3"/>
      <c r="F822" s="32"/>
      <c r="G822" s="1"/>
      <c r="H822" s="3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25.5" customHeight="1">
      <c r="A823" s="3"/>
      <c r="B823" s="3"/>
      <c r="C823" s="3"/>
      <c r="D823" s="3"/>
      <c r="E823" s="3"/>
      <c r="F823" s="32"/>
      <c r="G823" s="1"/>
      <c r="H823" s="3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25.5" customHeight="1">
      <c r="A824" s="3"/>
      <c r="B824" s="3"/>
      <c r="C824" s="3"/>
      <c r="D824" s="3"/>
      <c r="E824" s="3"/>
      <c r="F824" s="32"/>
      <c r="G824" s="1"/>
      <c r="H824" s="3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25.5" customHeight="1">
      <c r="A825" s="3"/>
      <c r="B825" s="3"/>
      <c r="C825" s="3"/>
      <c r="D825" s="3"/>
      <c r="E825" s="3"/>
      <c r="F825" s="32"/>
      <c r="G825" s="1"/>
      <c r="H825" s="3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25.5" customHeight="1">
      <c r="A826" s="3"/>
      <c r="B826" s="3"/>
      <c r="C826" s="3"/>
      <c r="D826" s="3"/>
      <c r="E826" s="3"/>
      <c r="F826" s="32"/>
      <c r="G826" s="1"/>
      <c r="H826" s="3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25.5" customHeight="1">
      <c r="A827" s="3"/>
      <c r="B827" s="3"/>
      <c r="C827" s="3"/>
      <c r="D827" s="3"/>
      <c r="E827" s="3"/>
      <c r="F827" s="32"/>
      <c r="G827" s="1"/>
      <c r="H827" s="3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25.5" customHeight="1">
      <c r="A828" s="3"/>
      <c r="B828" s="3"/>
      <c r="C828" s="3"/>
      <c r="D828" s="3"/>
      <c r="E828" s="3"/>
      <c r="F828" s="32"/>
      <c r="G828" s="1"/>
      <c r="H828" s="3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25.5" customHeight="1">
      <c r="A829" s="3"/>
      <c r="B829" s="3"/>
      <c r="C829" s="3"/>
      <c r="D829" s="3"/>
      <c r="E829" s="3"/>
      <c r="F829" s="32"/>
      <c r="G829" s="1"/>
      <c r="H829" s="3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25.5" customHeight="1">
      <c r="A830" s="3"/>
      <c r="B830" s="3"/>
      <c r="C830" s="3"/>
      <c r="D830" s="3"/>
      <c r="E830" s="3"/>
      <c r="F830" s="32"/>
      <c r="G830" s="1"/>
      <c r="H830" s="3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25.5" customHeight="1">
      <c r="A831" s="3"/>
      <c r="B831" s="3"/>
      <c r="C831" s="3"/>
      <c r="D831" s="3"/>
      <c r="E831" s="3"/>
      <c r="F831" s="32"/>
      <c r="G831" s="1"/>
      <c r="H831" s="3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25.5" customHeight="1">
      <c r="A832" s="3"/>
      <c r="B832" s="3"/>
      <c r="C832" s="3"/>
      <c r="D832" s="3"/>
      <c r="E832" s="3"/>
      <c r="F832" s="32"/>
      <c r="G832" s="1"/>
      <c r="H832" s="3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25.5" customHeight="1">
      <c r="A833" s="3"/>
      <c r="B833" s="3"/>
      <c r="C833" s="3"/>
      <c r="D833" s="3"/>
      <c r="E833" s="3"/>
      <c r="F833" s="32"/>
      <c r="G833" s="1"/>
      <c r="H833" s="3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25.5" customHeight="1">
      <c r="A834" s="3"/>
      <c r="B834" s="3"/>
      <c r="C834" s="3"/>
      <c r="D834" s="3"/>
      <c r="E834" s="3"/>
      <c r="F834" s="32"/>
      <c r="G834" s="1"/>
      <c r="H834" s="3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25.5" customHeight="1">
      <c r="A835" s="3"/>
      <c r="B835" s="3"/>
      <c r="C835" s="3"/>
      <c r="D835" s="3"/>
      <c r="E835" s="3"/>
      <c r="F835" s="32"/>
      <c r="G835" s="1"/>
      <c r="H835" s="3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25.5" customHeight="1">
      <c r="A836" s="3"/>
      <c r="B836" s="3"/>
      <c r="C836" s="3"/>
      <c r="D836" s="3"/>
      <c r="E836" s="3"/>
      <c r="F836" s="32"/>
      <c r="G836" s="1"/>
      <c r="H836" s="3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25.5" customHeight="1">
      <c r="A837" s="3"/>
      <c r="B837" s="3"/>
      <c r="C837" s="3"/>
      <c r="D837" s="3"/>
      <c r="E837" s="3"/>
      <c r="F837" s="32"/>
      <c r="G837" s="1"/>
      <c r="H837" s="3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25.5" customHeight="1">
      <c r="A838" s="3"/>
      <c r="B838" s="3"/>
      <c r="C838" s="3"/>
      <c r="D838" s="3"/>
      <c r="E838" s="3"/>
      <c r="F838" s="32"/>
      <c r="G838" s="1"/>
      <c r="H838" s="3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25.5" customHeight="1">
      <c r="A839" s="3"/>
      <c r="B839" s="3"/>
      <c r="C839" s="3"/>
      <c r="D839" s="3"/>
      <c r="E839" s="3"/>
      <c r="F839" s="32"/>
      <c r="G839" s="1"/>
      <c r="H839" s="3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25.5" customHeight="1">
      <c r="A840" s="3"/>
      <c r="B840" s="3"/>
      <c r="C840" s="3"/>
      <c r="D840" s="3"/>
      <c r="E840" s="3"/>
      <c r="F840" s="32"/>
      <c r="G840" s="1"/>
      <c r="H840" s="3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25.5" customHeight="1">
      <c r="A841" s="3"/>
      <c r="B841" s="3"/>
      <c r="C841" s="3"/>
      <c r="D841" s="3"/>
      <c r="E841" s="3"/>
      <c r="F841" s="32"/>
      <c r="G841" s="1"/>
      <c r="H841" s="3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25.5" customHeight="1">
      <c r="A842" s="3"/>
      <c r="B842" s="3"/>
      <c r="C842" s="3"/>
      <c r="D842" s="3"/>
      <c r="E842" s="3"/>
      <c r="F842" s="32"/>
      <c r="G842" s="1"/>
      <c r="H842" s="3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25.5" customHeight="1">
      <c r="A843" s="3"/>
      <c r="B843" s="3"/>
      <c r="C843" s="3"/>
      <c r="D843" s="3"/>
      <c r="E843" s="3"/>
      <c r="F843" s="32"/>
      <c r="G843" s="1"/>
      <c r="H843" s="3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25.5" customHeight="1">
      <c r="A844" s="3"/>
      <c r="B844" s="3"/>
      <c r="C844" s="3"/>
      <c r="D844" s="3"/>
      <c r="E844" s="3"/>
      <c r="F844" s="32"/>
      <c r="G844" s="1"/>
      <c r="H844" s="3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25.5" customHeight="1">
      <c r="A845" s="3"/>
      <c r="B845" s="3"/>
      <c r="C845" s="3"/>
      <c r="D845" s="3"/>
      <c r="E845" s="3"/>
      <c r="F845" s="32"/>
      <c r="G845" s="1"/>
      <c r="H845" s="3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25.5" customHeight="1">
      <c r="A846" s="3"/>
      <c r="B846" s="3"/>
      <c r="C846" s="3"/>
      <c r="D846" s="3"/>
      <c r="E846" s="3"/>
      <c r="F846" s="32"/>
      <c r="G846" s="1"/>
      <c r="H846" s="3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25.5" customHeight="1">
      <c r="A847" s="3"/>
      <c r="B847" s="3"/>
      <c r="C847" s="3"/>
      <c r="D847" s="3"/>
      <c r="E847" s="3"/>
      <c r="F847" s="32"/>
      <c r="G847" s="1"/>
      <c r="H847" s="3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25.5" customHeight="1">
      <c r="A848" s="3"/>
      <c r="B848" s="3"/>
      <c r="C848" s="3"/>
      <c r="D848" s="3"/>
      <c r="E848" s="3"/>
      <c r="F848" s="32"/>
      <c r="G848" s="1"/>
      <c r="H848" s="3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25.5" customHeight="1">
      <c r="A849" s="3"/>
      <c r="B849" s="3"/>
      <c r="C849" s="3"/>
      <c r="D849" s="3"/>
      <c r="E849" s="3"/>
      <c r="F849" s="32"/>
      <c r="G849" s="1"/>
      <c r="H849" s="3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25.5" customHeight="1">
      <c r="A850" s="3"/>
      <c r="B850" s="3"/>
      <c r="C850" s="3"/>
      <c r="D850" s="3"/>
      <c r="E850" s="3"/>
      <c r="F850" s="32"/>
      <c r="G850" s="1"/>
      <c r="H850" s="3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25.5" customHeight="1">
      <c r="A851" s="3"/>
      <c r="B851" s="3"/>
      <c r="C851" s="3"/>
      <c r="D851" s="3"/>
      <c r="E851" s="3"/>
      <c r="F851" s="32"/>
      <c r="G851" s="1"/>
      <c r="H851" s="3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25.5" customHeight="1">
      <c r="A852" s="3"/>
      <c r="B852" s="3"/>
      <c r="C852" s="3"/>
      <c r="D852" s="3"/>
      <c r="E852" s="3"/>
      <c r="F852" s="32"/>
      <c r="G852" s="1"/>
      <c r="H852" s="3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25.5" customHeight="1">
      <c r="A853" s="3"/>
      <c r="B853" s="3"/>
      <c r="C853" s="3"/>
      <c r="D853" s="3"/>
      <c r="E853" s="3"/>
      <c r="F853" s="32"/>
      <c r="G853" s="1"/>
      <c r="H853" s="3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25.5" customHeight="1">
      <c r="A854" s="3"/>
      <c r="B854" s="3"/>
      <c r="C854" s="3"/>
      <c r="D854" s="3"/>
      <c r="E854" s="3"/>
      <c r="F854" s="32"/>
      <c r="G854" s="1"/>
      <c r="H854" s="3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25.5" customHeight="1">
      <c r="A855" s="3"/>
      <c r="B855" s="3"/>
      <c r="C855" s="3"/>
      <c r="D855" s="3"/>
      <c r="E855" s="3"/>
      <c r="F855" s="32"/>
      <c r="G855" s="1"/>
      <c r="H855" s="3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25.5" customHeight="1">
      <c r="A856" s="3"/>
      <c r="B856" s="3"/>
      <c r="C856" s="3"/>
      <c r="D856" s="3"/>
      <c r="E856" s="3"/>
      <c r="F856" s="32"/>
      <c r="G856" s="1"/>
      <c r="H856" s="3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25.5" customHeight="1">
      <c r="A857" s="3"/>
      <c r="B857" s="3"/>
      <c r="C857" s="3"/>
      <c r="D857" s="3"/>
      <c r="E857" s="3"/>
      <c r="F857" s="32"/>
      <c r="G857" s="1"/>
      <c r="H857" s="3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25.5" customHeight="1">
      <c r="A858" s="3"/>
      <c r="B858" s="3"/>
      <c r="C858" s="3"/>
      <c r="D858" s="3"/>
      <c r="E858" s="3"/>
      <c r="F858" s="32"/>
      <c r="G858" s="1"/>
      <c r="H858" s="3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25.5" customHeight="1">
      <c r="A859" s="3"/>
      <c r="B859" s="3"/>
      <c r="C859" s="3"/>
      <c r="D859" s="3"/>
      <c r="E859" s="3"/>
      <c r="F859" s="32"/>
      <c r="G859" s="1"/>
      <c r="H859" s="3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25.5" customHeight="1">
      <c r="A860" s="3"/>
      <c r="B860" s="3"/>
      <c r="C860" s="3"/>
      <c r="D860" s="3"/>
      <c r="E860" s="3"/>
      <c r="F860" s="32"/>
      <c r="G860" s="1"/>
      <c r="H860" s="3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25.5" customHeight="1">
      <c r="A861" s="3"/>
      <c r="B861" s="3"/>
      <c r="C861" s="3"/>
      <c r="D861" s="3"/>
      <c r="E861" s="3"/>
      <c r="F861" s="32"/>
      <c r="G861" s="1"/>
      <c r="H861" s="3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25.5" customHeight="1">
      <c r="A862" s="3"/>
      <c r="B862" s="3"/>
      <c r="C862" s="3"/>
      <c r="D862" s="3"/>
      <c r="E862" s="3"/>
      <c r="F862" s="32"/>
      <c r="G862" s="1"/>
      <c r="H862" s="3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25.5" customHeight="1">
      <c r="A863" s="3"/>
      <c r="B863" s="3"/>
      <c r="C863" s="3"/>
      <c r="D863" s="3"/>
      <c r="E863" s="3"/>
      <c r="F863" s="32"/>
      <c r="G863" s="1"/>
      <c r="H863" s="3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25.5" customHeight="1">
      <c r="A864" s="3"/>
      <c r="B864" s="3"/>
      <c r="C864" s="3"/>
      <c r="D864" s="3"/>
      <c r="E864" s="3"/>
      <c r="F864" s="32"/>
      <c r="G864" s="1"/>
      <c r="H864" s="3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25.5" customHeight="1">
      <c r="A865" s="3"/>
      <c r="B865" s="3"/>
      <c r="C865" s="3"/>
      <c r="D865" s="3"/>
      <c r="E865" s="3"/>
      <c r="F865" s="32"/>
      <c r="G865" s="1"/>
      <c r="H865" s="3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25.5" customHeight="1">
      <c r="A866" s="3"/>
      <c r="B866" s="3"/>
      <c r="C866" s="3"/>
      <c r="D866" s="3"/>
      <c r="E866" s="3"/>
      <c r="F866" s="32"/>
      <c r="G866" s="1"/>
      <c r="H866" s="3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25.5" customHeight="1">
      <c r="A867" s="3"/>
      <c r="B867" s="3"/>
      <c r="C867" s="3"/>
      <c r="D867" s="3"/>
      <c r="E867" s="3"/>
      <c r="F867" s="32"/>
      <c r="G867" s="1"/>
      <c r="H867" s="3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25.5" customHeight="1">
      <c r="A868" s="3"/>
      <c r="B868" s="3"/>
      <c r="C868" s="3"/>
      <c r="D868" s="3"/>
      <c r="E868" s="3"/>
      <c r="F868" s="32"/>
      <c r="G868" s="1"/>
      <c r="H868" s="3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25.5" customHeight="1">
      <c r="A869" s="3"/>
      <c r="B869" s="3"/>
      <c r="C869" s="3"/>
      <c r="D869" s="3"/>
      <c r="E869" s="3"/>
      <c r="F869" s="32"/>
      <c r="G869" s="1"/>
      <c r="H869" s="3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25.5" customHeight="1">
      <c r="A870" s="3"/>
      <c r="B870" s="3"/>
      <c r="C870" s="3"/>
      <c r="D870" s="3"/>
      <c r="E870" s="3"/>
      <c r="F870" s="32"/>
      <c r="G870" s="1"/>
      <c r="H870" s="3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25.5" customHeight="1">
      <c r="A871" s="3"/>
      <c r="B871" s="3"/>
      <c r="C871" s="3"/>
      <c r="D871" s="3"/>
      <c r="E871" s="3"/>
      <c r="F871" s="32"/>
      <c r="G871" s="1"/>
      <c r="H871" s="3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25.5" customHeight="1">
      <c r="A872" s="3"/>
      <c r="B872" s="3"/>
      <c r="C872" s="3"/>
      <c r="D872" s="3"/>
      <c r="E872" s="3"/>
      <c r="F872" s="32"/>
      <c r="G872" s="1"/>
      <c r="H872" s="3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25.5" customHeight="1">
      <c r="A873" s="3"/>
      <c r="B873" s="3"/>
      <c r="C873" s="3"/>
      <c r="D873" s="3"/>
      <c r="E873" s="3"/>
      <c r="F873" s="32"/>
      <c r="G873" s="1"/>
      <c r="H873" s="3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25.5" customHeight="1">
      <c r="A874" s="3"/>
      <c r="B874" s="3"/>
      <c r="C874" s="3"/>
      <c r="D874" s="3"/>
      <c r="E874" s="3"/>
      <c r="F874" s="32"/>
      <c r="G874" s="1"/>
      <c r="H874" s="3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25.5" customHeight="1">
      <c r="A875" s="3"/>
      <c r="B875" s="3"/>
      <c r="C875" s="3"/>
      <c r="D875" s="3"/>
      <c r="E875" s="3"/>
      <c r="F875" s="32"/>
      <c r="G875" s="1"/>
      <c r="H875" s="3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25.5" customHeight="1">
      <c r="A876" s="3"/>
      <c r="B876" s="3"/>
      <c r="C876" s="3"/>
      <c r="D876" s="3"/>
      <c r="E876" s="3"/>
      <c r="F876" s="32"/>
      <c r="G876" s="1"/>
      <c r="H876" s="3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25.5" customHeight="1">
      <c r="A877" s="3"/>
      <c r="B877" s="3"/>
      <c r="C877" s="3"/>
      <c r="D877" s="3"/>
      <c r="E877" s="3"/>
      <c r="F877" s="32"/>
      <c r="G877" s="1"/>
      <c r="H877" s="3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25.5" customHeight="1">
      <c r="A878" s="3"/>
      <c r="B878" s="3"/>
      <c r="C878" s="3"/>
      <c r="D878" s="3"/>
      <c r="E878" s="3"/>
      <c r="F878" s="32"/>
      <c r="G878" s="1"/>
      <c r="H878" s="3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25.5" customHeight="1">
      <c r="A879" s="3"/>
      <c r="B879" s="3"/>
      <c r="C879" s="3"/>
      <c r="D879" s="3"/>
      <c r="E879" s="3"/>
      <c r="F879" s="32"/>
      <c r="G879" s="1"/>
      <c r="H879" s="3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25.5" customHeight="1">
      <c r="A880" s="3"/>
      <c r="B880" s="3"/>
      <c r="C880" s="3"/>
      <c r="D880" s="3"/>
      <c r="E880" s="3"/>
      <c r="F880" s="32"/>
      <c r="G880" s="1"/>
      <c r="H880" s="3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25.5" customHeight="1">
      <c r="A881" s="3"/>
      <c r="B881" s="3"/>
      <c r="C881" s="3"/>
      <c r="D881" s="3"/>
      <c r="E881" s="3"/>
      <c r="F881" s="32"/>
      <c r="G881" s="1"/>
      <c r="H881" s="3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25.5" customHeight="1">
      <c r="A882" s="3"/>
      <c r="B882" s="3"/>
      <c r="C882" s="3"/>
      <c r="D882" s="3"/>
      <c r="E882" s="3"/>
      <c r="F882" s="32"/>
      <c r="G882" s="1"/>
      <c r="H882" s="3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25.5" customHeight="1">
      <c r="A883" s="3"/>
      <c r="B883" s="3"/>
      <c r="C883" s="3"/>
      <c r="D883" s="3"/>
      <c r="E883" s="3"/>
      <c r="F883" s="32"/>
      <c r="G883" s="1"/>
      <c r="H883" s="3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25.5" customHeight="1">
      <c r="A884" s="3"/>
      <c r="B884" s="3"/>
      <c r="C884" s="3"/>
      <c r="D884" s="3"/>
      <c r="E884" s="3"/>
      <c r="F884" s="32"/>
      <c r="G884" s="1"/>
      <c r="H884" s="3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25.5" customHeight="1">
      <c r="A885" s="3"/>
      <c r="B885" s="3"/>
      <c r="C885" s="3"/>
      <c r="D885" s="3"/>
      <c r="E885" s="3"/>
      <c r="F885" s="32"/>
      <c r="G885" s="1"/>
      <c r="H885" s="3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25.5" customHeight="1">
      <c r="A886" s="3"/>
      <c r="B886" s="3"/>
      <c r="C886" s="3"/>
      <c r="D886" s="3"/>
      <c r="E886" s="3"/>
      <c r="F886" s="32"/>
      <c r="G886" s="1"/>
      <c r="H886" s="3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25.5" customHeight="1">
      <c r="A887" s="3"/>
      <c r="B887" s="3"/>
      <c r="C887" s="3"/>
      <c r="D887" s="3"/>
      <c r="E887" s="3"/>
      <c r="F887" s="32"/>
      <c r="G887" s="1"/>
      <c r="H887" s="3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25.5" customHeight="1">
      <c r="A888" s="3"/>
      <c r="B888" s="3"/>
      <c r="C888" s="3"/>
      <c r="D888" s="3"/>
      <c r="E888" s="3"/>
      <c r="F888" s="32"/>
      <c r="G888" s="1"/>
      <c r="H888" s="3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25.5" customHeight="1">
      <c r="A889" s="3"/>
      <c r="B889" s="3"/>
      <c r="C889" s="3"/>
      <c r="D889" s="3"/>
      <c r="E889" s="3"/>
      <c r="F889" s="32"/>
      <c r="G889" s="1"/>
      <c r="H889" s="3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25.5" customHeight="1">
      <c r="A890" s="3"/>
      <c r="B890" s="3"/>
      <c r="C890" s="3"/>
      <c r="D890" s="3"/>
      <c r="E890" s="3"/>
      <c r="F890" s="32"/>
      <c r="G890" s="1"/>
      <c r="H890" s="3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25.5" customHeight="1">
      <c r="A891" s="3"/>
      <c r="B891" s="3"/>
      <c r="C891" s="3"/>
      <c r="D891" s="3"/>
      <c r="E891" s="3"/>
      <c r="F891" s="32"/>
      <c r="G891" s="1"/>
      <c r="H891" s="3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25.5" customHeight="1">
      <c r="A892" s="3"/>
      <c r="B892" s="3"/>
      <c r="C892" s="3"/>
      <c r="D892" s="3"/>
      <c r="E892" s="3"/>
      <c r="F892" s="32"/>
      <c r="G892" s="1"/>
      <c r="H892" s="3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25.5" customHeight="1">
      <c r="A893" s="3"/>
      <c r="B893" s="3"/>
      <c r="C893" s="3"/>
      <c r="D893" s="3"/>
      <c r="E893" s="3"/>
      <c r="F893" s="32"/>
      <c r="G893" s="1"/>
      <c r="H893" s="3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25.5" customHeight="1">
      <c r="A894" s="3"/>
      <c r="B894" s="3"/>
      <c r="C894" s="3"/>
      <c r="D894" s="3"/>
      <c r="E894" s="3"/>
      <c r="F894" s="32"/>
      <c r="G894" s="1"/>
      <c r="H894" s="3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25.5" customHeight="1">
      <c r="A895" s="3"/>
      <c r="B895" s="3"/>
      <c r="C895" s="3"/>
      <c r="D895" s="3"/>
      <c r="E895" s="3"/>
      <c r="F895" s="32"/>
      <c r="G895" s="1"/>
      <c r="H895" s="3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25.5" customHeight="1">
      <c r="A896" s="3"/>
      <c r="B896" s="3"/>
      <c r="C896" s="3"/>
      <c r="D896" s="3"/>
      <c r="E896" s="3"/>
      <c r="F896" s="32"/>
      <c r="G896" s="1"/>
      <c r="H896" s="3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25.5" customHeight="1">
      <c r="A897" s="3"/>
      <c r="B897" s="3"/>
      <c r="C897" s="3"/>
      <c r="D897" s="3"/>
      <c r="E897" s="3"/>
      <c r="F897" s="32"/>
      <c r="G897" s="1"/>
      <c r="H897" s="3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25.5" customHeight="1">
      <c r="A898" s="3"/>
      <c r="B898" s="3"/>
      <c r="C898" s="3"/>
      <c r="D898" s="3"/>
      <c r="E898" s="3"/>
      <c r="F898" s="32"/>
      <c r="G898" s="1"/>
      <c r="H898" s="3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25.5" customHeight="1">
      <c r="A899" s="3"/>
      <c r="B899" s="3"/>
      <c r="C899" s="3"/>
      <c r="D899" s="3"/>
      <c r="E899" s="3"/>
      <c r="F899" s="32"/>
      <c r="G899" s="1"/>
      <c r="H899" s="3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25.5" customHeight="1">
      <c r="A900" s="3"/>
      <c r="B900" s="3"/>
      <c r="C900" s="3"/>
      <c r="D900" s="3"/>
      <c r="E900" s="3"/>
      <c r="F900" s="32"/>
      <c r="G900" s="1"/>
      <c r="H900" s="3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25.5" customHeight="1">
      <c r="A901" s="3"/>
      <c r="B901" s="3"/>
      <c r="C901" s="3"/>
      <c r="D901" s="3"/>
      <c r="E901" s="3"/>
      <c r="F901" s="32"/>
      <c r="G901" s="1"/>
      <c r="H901" s="3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25.5" customHeight="1">
      <c r="A902" s="3"/>
      <c r="B902" s="3"/>
      <c r="C902" s="3"/>
      <c r="D902" s="3"/>
      <c r="E902" s="3"/>
      <c r="F902" s="32"/>
      <c r="G902" s="1"/>
      <c r="H902" s="3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25.5" customHeight="1">
      <c r="A903" s="3"/>
      <c r="B903" s="3"/>
      <c r="C903" s="3"/>
      <c r="D903" s="3"/>
      <c r="E903" s="3"/>
      <c r="F903" s="32"/>
      <c r="G903" s="1"/>
      <c r="H903" s="3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25.5" customHeight="1">
      <c r="A904" s="3"/>
      <c r="B904" s="3"/>
      <c r="C904" s="3"/>
      <c r="D904" s="3"/>
      <c r="E904" s="3"/>
      <c r="F904" s="32"/>
      <c r="G904" s="1"/>
      <c r="H904" s="3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25.5" customHeight="1">
      <c r="A905" s="3"/>
      <c r="B905" s="3"/>
      <c r="C905" s="3"/>
      <c r="D905" s="3"/>
      <c r="E905" s="3"/>
      <c r="F905" s="32"/>
      <c r="G905" s="1"/>
      <c r="H905" s="3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25.5" customHeight="1">
      <c r="A906" s="3"/>
      <c r="B906" s="3"/>
      <c r="C906" s="3"/>
      <c r="D906" s="3"/>
      <c r="E906" s="3"/>
      <c r="F906" s="32"/>
      <c r="G906" s="1"/>
      <c r="H906" s="3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25.5" customHeight="1">
      <c r="A907" s="3"/>
      <c r="B907" s="3"/>
      <c r="C907" s="3"/>
      <c r="D907" s="3"/>
      <c r="E907" s="3"/>
      <c r="F907" s="32"/>
      <c r="G907" s="1"/>
      <c r="H907" s="3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25.5" customHeight="1">
      <c r="A908" s="3"/>
      <c r="B908" s="3"/>
      <c r="C908" s="3"/>
      <c r="D908" s="3"/>
      <c r="E908" s="3"/>
      <c r="F908" s="32"/>
      <c r="G908" s="1"/>
      <c r="H908" s="3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25.5" customHeight="1">
      <c r="A909" s="3"/>
      <c r="B909" s="3"/>
      <c r="C909" s="3"/>
      <c r="D909" s="3"/>
      <c r="E909" s="3"/>
      <c r="F909" s="32"/>
      <c r="G909" s="1"/>
      <c r="H909" s="3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25.5" customHeight="1">
      <c r="A910" s="3"/>
      <c r="B910" s="3"/>
      <c r="C910" s="3"/>
      <c r="D910" s="3"/>
      <c r="E910" s="3"/>
      <c r="F910" s="32"/>
      <c r="G910" s="1"/>
      <c r="H910" s="3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25.5" customHeight="1">
      <c r="A911" s="3"/>
      <c r="B911" s="3"/>
      <c r="C911" s="3"/>
      <c r="D911" s="3"/>
      <c r="E911" s="3"/>
      <c r="F911" s="32"/>
      <c r="G911" s="1"/>
      <c r="H911" s="3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25.5" customHeight="1">
      <c r="A912" s="3"/>
      <c r="B912" s="3"/>
      <c r="C912" s="3"/>
      <c r="D912" s="3"/>
      <c r="E912" s="3"/>
      <c r="F912" s="32"/>
      <c r="G912" s="1"/>
      <c r="H912" s="3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25.5" customHeight="1">
      <c r="A913" s="3"/>
      <c r="B913" s="3"/>
      <c r="C913" s="3"/>
      <c r="D913" s="3"/>
      <c r="E913" s="3"/>
      <c r="F913" s="32"/>
      <c r="G913" s="1"/>
      <c r="H913" s="3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25.5" customHeight="1">
      <c r="A914" s="3"/>
      <c r="B914" s="3"/>
      <c r="C914" s="3"/>
      <c r="D914" s="3"/>
      <c r="E914" s="3"/>
      <c r="F914" s="32"/>
      <c r="G914" s="1"/>
      <c r="H914" s="3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25.5" customHeight="1">
      <c r="A915" s="3"/>
      <c r="B915" s="3"/>
      <c r="C915" s="3"/>
      <c r="D915" s="3"/>
      <c r="E915" s="3"/>
      <c r="F915" s="32"/>
      <c r="G915" s="1"/>
      <c r="H915" s="3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25.5" customHeight="1">
      <c r="A916" s="3"/>
      <c r="B916" s="3"/>
      <c r="C916" s="3"/>
      <c r="D916" s="3"/>
      <c r="E916" s="3"/>
      <c r="F916" s="32"/>
      <c r="G916" s="1"/>
      <c r="H916" s="3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25.5" customHeight="1">
      <c r="A917" s="3"/>
      <c r="B917" s="3"/>
      <c r="C917" s="3"/>
      <c r="D917" s="3"/>
      <c r="E917" s="3"/>
      <c r="F917" s="32"/>
      <c r="G917" s="1"/>
      <c r="H917" s="3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25.5" customHeight="1">
      <c r="A918" s="3"/>
      <c r="B918" s="3"/>
      <c r="C918" s="3"/>
      <c r="D918" s="3"/>
      <c r="E918" s="3"/>
      <c r="F918" s="32"/>
      <c r="G918" s="1"/>
      <c r="H918" s="3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25.5" customHeight="1">
      <c r="A919" s="3"/>
      <c r="B919" s="3"/>
      <c r="C919" s="3"/>
      <c r="D919" s="3"/>
      <c r="E919" s="3"/>
      <c r="F919" s="32"/>
      <c r="G919" s="1"/>
      <c r="H919" s="3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25.5" customHeight="1">
      <c r="A920" s="3"/>
      <c r="B920" s="3"/>
      <c r="C920" s="3"/>
      <c r="D920" s="3"/>
      <c r="E920" s="3"/>
      <c r="F920" s="32"/>
      <c r="G920" s="1"/>
      <c r="H920" s="3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25.5" customHeight="1">
      <c r="A921" s="3"/>
      <c r="B921" s="3"/>
      <c r="C921" s="3"/>
      <c r="D921" s="3"/>
      <c r="E921" s="3"/>
      <c r="F921" s="32"/>
      <c r="G921" s="1"/>
      <c r="H921" s="3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25.5" customHeight="1">
      <c r="A922" s="3"/>
      <c r="B922" s="3"/>
      <c r="C922" s="3"/>
      <c r="D922" s="3"/>
      <c r="E922" s="3"/>
      <c r="F922" s="32"/>
      <c r="G922" s="1"/>
      <c r="H922" s="3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25.5" customHeight="1">
      <c r="A923" s="3"/>
      <c r="B923" s="3"/>
      <c r="C923" s="3"/>
      <c r="D923" s="3"/>
      <c r="E923" s="3"/>
      <c r="F923" s="32"/>
      <c r="G923" s="1"/>
      <c r="H923" s="3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25.5" customHeight="1">
      <c r="A924" s="3"/>
      <c r="B924" s="3"/>
      <c r="C924" s="3"/>
      <c r="D924" s="3"/>
      <c r="E924" s="3"/>
      <c r="F924" s="32"/>
      <c r="G924" s="1"/>
      <c r="H924" s="3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25.5" customHeight="1">
      <c r="A925" s="3"/>
      <c r="B925" s="3"/>
      <c r="C925" s="3"/>
      <c r="D925" s="3"/>
      <c r="E925" s="3"/>
      <c r="F925" s="32"/>
      <c r="G925" s="1"/>
      <c r="H925" s="3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25.5" customHeight="1">
      <c r="A926" s="3"/>
      <c r="B926" s="3"/>
      <c r="C926" s="3"/>
      <c r="D926" s="3"/>
      <c r="E926" s="3"/>
      <c r="F926" s="32"/>
      <c r="G926" s="1"/>
      <c r="H926" s="3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25.5" customHeight="1">
      <c r="A927" s="3"/>
      <c r="B927" s="3"/>
      <c r="C927" s="3"/>
      <c r="D927" s="3"/>
      <c r="E927" s="3"/>
      <c r="F927" s="32"/>
      <c r="G927" s="1"/>
      <c r="H927" s="3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25.5" customHeight="1">
      <c r="A928" s="3"/>
      <c r="B928" s="3"/>
      <c r="C928" s="3"/>
      <c r="D928" s="3"/>
      <c r="E928" s="3"/>
      <c r="F928" s="32"/>
      <c r="G928" s="1"/>
      <c r="H928" s="3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25.5" customHeight="1">
      <c r="A929" s="3"/>
      <c r="B929" s="3"/>
      <c r="C929" s="3"/>
      <c r="D929" s="3"/>
      <c r="E929" s="3"/>
      <c r="F929" s="32"/>
      <c r="G929" s="1"/>
      <c r="H929" s="3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25.5" customHeight="1">
      <c r="A930" s="3"/>
      <c r="B930" s="3"/>
      <c r="C930" s="3"/>
      <c r="D930" s="3"/>
      <c r="E930" s="3"/>
      <c r="F930" s="32"/>
      <c r="G930" s="1"/>
      <c r="H930" s="3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25.5" customHeight="1">
      <c r="A931" s="3"/>
      <c r="B931" s="3"/>
      <c r="C931" s="3"/>
      <c r="D931" s="3"/>
      <c r="E931" s="3"/>
      <c r="F931" s="32"/>
      <c r="G931" s="1"/>
      <c r="H931" s="3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25.5" customHeight="1">
      <c r="A932" s="3"/>
      <c r="B932" s="3"/>
      <c r="C932" s="3"/>
      <c r="D932" s="3"/>
      <c r="E932" s="3"/>
      <c r="F932" s="32"/>
      <c r="G932" s="1"/>
      <c r="H932" s="3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25.5" customHeight="1">
      <c r="A933" s="3"/>
      <c r="B933" s="3"/>
      <c r="C933" s="3"/>
      <c r="D933" s="3"/>
      <c r="E933" s="3"/>
      <c r="F933" s="32"/>
      <c r="G933" s="1"/>
      <c r="H933" s="3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25.5" customHeight="1">
      <c r="A934" s="3"/>
      <c r="B934" s="3"/>
      <c r="C934" s="3"/>
      <c r="D934" s="3"/>
      <c r="E934" s="3"/>
      <c r="F934" s="32"/>
      <c r="G934" s="1"/>
      <c r="H934" s="3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25.5" customHeight="1">
      <c r="A935" s="3"/>
      <c r="B935" s="3"/>
      <c r="C935" s="3"/>
      <c r="D935" s="3"/>
      <c r="E935" s="3"/>
      <c r="F935" s="32"/>
      <c r="G935" s="1"/>
      <c r="H935" s="3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25.5" customHeight="1">
      <c r="A936" s="3"/>
      <c r="B936" s="3"/>
      <c r="C936" s="3"/>
      <c r="D936" s="3"/>
      <c r="E936" s="3"/>
      <c r="F936" s="32"/>
      <c r="G936" s="1"/>
      <c r="H936" s="3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25.5" customHeight="1">
      <c r="A937" s="3"/>
      <c r="B937" s="3"/>
      <c r="C937" s="3"/>
      <c r="D937" s="3"/>
      <c r="E937" s="3"/>
      <c r="F937" s="32"/>
      <c r="G937" s="1"/>
      <c r="H937" s="3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25.5" customHeight="1">
      <c r="A938" s="3"/>
      <c r="B938" s="3"/>
      <c r="C938" s="3"/>
      <c r="D938" s="3"/>
      <c r="E938" s="3"/>
      <c r="F938" s="32"/>
      <c r="G938" s="1"/>
      <c r="H938" s="3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25.5" customHeight="1">
      <c r="A939" s="3"/>
      <c r="B939" s="3"/>
      <c r="C939" s="3"/>
      <c r="D939" s="3"/>
      <c r="E939" s="3"/>
      <c r="F939" s="32"/>
      <c r="G939" s="1"/>
      <c r="H939" s="3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25.5" customHeight="1">
      <c r="A940" s="3"/>
      <c r="B940" s="3"/>
      <c r="C940" s="3"/>
      <c r="D940" s="3"/>
      <c r="E940" s="3"/>
      <c r="F940" s="32"/>
      <c r="G940" s="1"/>
      <c r="H940" s="3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25.5" customHeight="1">
      <c r="A941" s="3"/>
      <c r="B941" s="3"/>
      <c r="C941" s="3"/>
      <c r="D941" s="3"/>
      <c r="E941" s="3"/>
      <c r="F941" s="32"/>
      <c r="G941" s="1"/>
      <c r="H941" s="3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25.5" customHeight="1">
      <c r="A942" s="3"/>
      <c r="B942" s="3"/>
      <c r="C942" s="3"/>
      <c r="D942" s="3"/>
      <c r="E942" s="3"/>
      <c r="F942" s="32"/>
      <c r="G942" s="1"/>
      <c r="H942" s="3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25.5" customHeight="1">
      <c r="A943" s="3"/>
      <c r="B943" s="3"/>
      <c r="C943" s="3"/>
      <c r="D943" s="3"/>
      <c r="E943" s="3"/>
      <c r="F943" s="32"/>
      <c r="G943" s="1"/>
      <c r="H943" s="3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25.5" customHeight="1">
      <c r="A944" s="3"/>
      <c r="B944" s="3"/>
      <c r="C944" s="3"/>
      <c r="D944" s="3"/>
      <c r="E944" s="3"/>
      <c r="F944" s="32"/>
      <c r="G944" s="1"/>
      <c r="H944" s="3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25.5" customHeight="1">
      <c r="A945" s="3"/>
      <c r="B945" s="3"/>
      <c r="C945" s="3"/>
      <c r="D945" s="3"/>
      <c r="E945" s="3"/>
      <c r="F945" s="32"/>
      <c r="G945" s="1"/>
      <c r="H945" s="3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25.5" customHeight="1">
      <c r="A946" s="3"/>
      <c r="B946" s="3"/>
      <c r="C946" s="3"/>
      <c r="D946" s="3"/>
      <c r="E946" s="3"/>
      <c r="F946" s="32"/>
      <c r="G946" s="1"/>
      <c r="H946" s="3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25.5" customHeight="1">
      <c r="A947" s="3"/>
      <c r="B947" s="3"/>
      <c r="C947" s="3"/>
      <c r="D947" s="3"/>
      <c r="E947" s="3"/>
      <c r="F947" s="32"/>
      <c r="G947" s="1"/>
      <c r="H947" s="3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25.5" customHeight="1">
      <c r="A948" s="3"/>
      <c r="B948" s="3"/>
      <c r="C948" s="3"/>
      <c r="D948" s="3"/>
      <c r="E948" s="3"/>
      <c r="F948" s="32"/>
      <c r="G948" s="1"/>
      <c r="H948" s="3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25.5" customHeight="1">
      <c r="A949" s="3"/>
      <c r="B949" s="3"/>
      <c r="C949" s="3"/>
      <c r="D949" s="3"/>
      <c r="E949" s="3"/>
      <c r="F949" s="32"/>
      <c r="G949" s="1"/>
      <c r="H949" s="3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25.5" customHeight="1">
      <c r="A950" s="3"/>
      <c r="B950" s="3"/>
      <c r="C950" s="3"/>
      <c r="D950" s="3"/>
      <c r="E950" s="3"/>
      <c r="F950" s="32"/>
      <c r="G950" s="1"/>
      <c r="H950" s="3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25.5" customHeight="1">
      <c r="A951" s="3"/>
      <c r="B951" s="3"/>
      <c r="C951" s="3"/>
      <c r="D951" s="3"/>
      <c r="E951" s="3"/>
      <c r="F951" s="32"/>
      <c r="G951" s="1"/>
      <c r="H951" s="3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25.5" customHeight="1">
      <c r="A952" s="3"/>
      <c r="B952" s="3"/>
      <c r="C952" s="3"/>
      <c r="D952" s="3"/>
      <c r="E952" s="3"/>
      <c r="F952" s="32"/>
      <c r="G952" s="1"/>
      <c r="H952" s="3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25.5" customHeight="1">
      <c r="A953" s="3"/>
      <c r="B953" s="3"/>
      <c r="C953" s="3"/>
      <c r="D953" s="3"/>
      <c r="E953" s="3"/>
      <c r="F953" s="32"/>
      <c r="G953" s="1"/>
      <c r="H953" s="3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25.5" customHeight="1">
      <c r="A954" s="3"/>
      <c r="B954" s="3"/>
      <c r="C954" s="3"/>
      <c r="D954" s="3"/>
      <c r="E954" s="3"/>
      <c r="F954" s="32"/>
      <c r="G954" s="1"/>
      <c r="H954" s="3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25.5" customHeight="1">
      <c r="A955" s="3"/>
      <c r="B955" s="3"/>
      <c r="C955" s="3"/>
      <c r="D955" s="3"/>
      <c r="E955" s="3"/>
      <c r="F955" s="32"/>
      <c r="G955" s="1"/>
      <c r="H955" s="3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25.5" customHeight="1">
      <c r="A956" s="3"/>
      <c r="B956" s="3"/>
      <c r="C956" s="3"/>
      <c r="D956" s="3"/>
      <c r="E956" s="3"/>
      <c r="F956" s="32"/>
      <c r="G956" s="1"/>
      <c r="H956" s="3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25.5" customHeight="1">
      <c r="A957" s="3"/>
      <c r="B957" s="3"/>
      <c r="C957" s="3"/>
      <c r="D957" s="3"/>
      <c r="E957" s="3"/>
      <c r="F957" s="32"/>
      <c r="G957" s="1"/>
      <c r="H957" s="3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25.5" customHeight="1">
      <c r="A958" s="3"/>
      <c r="B958" s="3"/>
      <c r="C958" s="3"/>
      <c r="D958" s="3"/>
      <c r="E958" s="3"/>
      <c r="F958" s="32"/>
      <c r="G958" s="1"/>
      <c r="H958" s="3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25.5" customHeight="1">
      <c r="A959" s="3"/>
      <c r="B959" s="3"/>
      <c r="C959" s="3"/>
      <c r="D959" s="3"/>
      <c r="E959" s="3"/>
      <c r="F959" s="32"/>
      <c r="G959" s="1"/>
      <c r="H959" s="3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25.5" customHeight="1">
      <c r="A960" s="3"/>
      <c r="B960" s="3"/>
      <c r="C960" s="3"/>
      <c r="D960" s="3"/>
      <c r="E960" s="3"/>
      <c r="F960" s="32"/>
      <c r="G960" s="1"/>
      <c r="H960" s="3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25.5" customHeight="1">
      <c r="A961" s="3"/>
      <c r="B961" s="3"/>
      <c r="C961" s="3"/>
      <c r="D961" s="3"/>
      <c r="E961" s="3"/>
      <c r="F961" s="32"/>
      <c r="G961" s="1"/>
      <c r="H961" s="3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25.5" customHeight="1">
      <c r="A962" s="3"/>
      <c r="B962" s="3"/>
      <c r="C962" s="3"/>
      <c r="D962" s="3"/>
      <c r="E962" s="3"/>
      <c r="F962" s="32"/>
      <c r="G962" s="1"/>
      <c r="H962" s="3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25.5" customHeight="1">
      <c r="A963" s="3"/>
      <c r="B963" s="3"/>
      <c r="C963" s="3"/>
      <c r="D963" s="3"/>
      <c r="E963" s="3"/>
      <c r="F963" s="32"/>
      <c r="G963" s="1"/>
      <c r="H963" s="3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25.5" customHeight="1">
      <c r="A964" s="3"/>
      <c r="B964" s="3"/>
      <c r="C964" s="3"/>
      <c r="D964" s="3"/>
      <c r="E964" s="3"/>
      <c r="F964" s="32"/>
      <c r="G964" s="1"/>
      <c r="H964" s="3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25.5" customHeight="1">
      <c r="A965" s="3"/>
      <c r="B965" s="3"/>
      <c r="C965" s="3"/>
      <c r="D965" s="3"/>
      <c r="E965" s="3"/>
      <c r="F965" s="32"/>
      <c r="G965" s="1"/>
      <c r="H965" s="3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25.5" customHeight="1">
      <c r="A966" s="3"/>
      <c r="B966" s="3"/>
      <c r="C966" s="3"/>
      <c r="D966" s="3"/>
      <c r="E966" s="3"/>
      <c r="F966" s="32"/>
      <c r="G966" s="1"/>
      <c r="H966" s="3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25.5" customHeight="1">
      <c r="A967" s="3"/>
      <c r="B967" s="3"/>
      <c r="C967" s="3"/>
      <c r="D967" s="3"/>
      <c r="E967" s="3"/>
      <c r="F967" s="32"/>
      <c r="G967" s="1"/>
      <c r="H967" s="3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25.5" customHeight="1">
      <c r="A968" s="3"/>
      <c r="B968" s="3"/>
      <c r="C968" s="3"/>
      <c r="D968" s="3"/>
      <c r="E968" s="3"/>
      <c r="F968" s="32"/>
      <c r="G968" s="1"/>
      <c r="H968" s="3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25.5" customHeight="1">
      <c r="A969" s="3"/>
      <c r="B969" s="3"/>
      <c r="C969" s="3"/>
      <c r="D969" s="3"/>
      <c r="E969" s="3"/>
      <c r="F969" s="32"/>
      <c r="G969" s="1"/>
      <c r="H969" s="3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25.5" customHeight="1">
      <c r="A970" s="3"/>
      <c r="B970" s="3"/>
      <c r="C970" s="3"/>
      <c r="D970" s="3"/>
      <c r="E970" s="3"/>
      <c r="F970" s="32"/>
      <c r="G970" s="1"/>
      <c r="H970" s="3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25.5" customHeight="1">
      <c r="A971" s="3"/>
      <c r="B971" s="3"/>
      <c r="C971" s="3"/>
      <c r="D971" s="3"/>
      <c r="E971" s="3"/>
      <c r="F971" s="32"/>
      <c r="G971" s="1"/>
      <c r="H971" s="3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25.5" customHeight="1">
      <c r="A972" s="3"/>
      <c r="B972" s="3"/>
      <c r="C972" s="3"/>
      <c r="D972" s="3"/>
      <c r="E972" s="3"/>
      <c r="F972" s="32"/>
      <c r="G972" s="1"/>
      <c r="H972" s="3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25.5" customHeight="1">
      <c r="A973" s="3"/>
      <c r="B973" s="3"/>
      <c r="C973" s="3"/>
      <c r="D973" s="3"/>
      <c r="E973" s="3"/>
      <c r="F973" s="32"/>
      <c r="G973" s="1"/>
      <c r="H973" s="3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25.5" customHeight="1">
      <c r="A974" s="3"/>
      <c r="B974" s="3"/>
      <c r="C974" s="3"/>
      <c r="D974" s="3"/>
      <c r="E974" s="3"/>
      <c r="F974" s="32"/>
      <c r="G974" s="1"/>
      <c r="H974" s="3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25.5" customHeight="1">
      <c r="A975" s="3"/>
      <c r="B975" s="3"/>
      <c r="C975" s="3"/>
      <c r="D975" s="3"/>
      <c r="E975" s="3"/>
      <c r="F975" s="32"/>
      <c r="G975" s="1"/>
      <c r="H975" s="3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25.5" customHeight="1">
      <c r="A976" s="3"/>
      <c r="B976" s="3"/>
      <c r="C976" s="3"/>
      <c r="D976" s="3"/>
      <c r="E976" s="3"/>
      <c r="F976" s="32"/>
      <c r="G976" s="1"/>
      <c r="H976" s="3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25.5" customHeight="1">
      <c r="A977" s="3"/>
      <c r="B977" s="3"/>
      <c r="C977" s="3"/>
      <c r="D977" s="3"/>
      <c r="E977" s="3"/>
      <c r="F977" s="32"/>
      <c r="G977" s="1"/>
      <c r="H977" s="3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25.5" customHeight="1">
      <c r="A978" s="3"/>
      <c r="B978" s="3"/>
      <c r="C978" s="3"/>
      <c r="D978" s="3"/>
      <c r="E978" s="3"/>
      <c r="F978" s="32"/>
      <c r="G978" s="1"/>
      <c r="H978" s="3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25.5" customHeight="1">
      <c r="A979" s="3"/>
      <c r="B979" s="3"/>
      <c r="C979" s="3"/>
      <c r="D979" s="3"/>
      <c r="E979" s="3"/>
      <c r="F979" s="32"/>
      <c r="G979" s="1"/>
      <c r="H979" s="3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25.5" customHeight="1">
      <c r="A980" s="3"/>
      <c r="B980" s="3"/>
      <c r="C980" s="3"/>
      <c r="D980" s="3"/>
      <c r="E980" s="3"/>
      <c r="F980" s="32"/>
      <c r="G980" s="1"/>
      <c r="H980" s="3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25.5" customHeight="1">
      <c r="A981" s="3"/>
      <c r="B981" s="3"/>
      <c r="C981" s="3"/>
      <c r="D981" s="3"/>
      <c r="E981" s="3"/>
      <c r="F981" s="32"/>
      <c r="G981" s="1"/>
      <c r="H981" s="3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25.5" customHeight="1">
      <c r="A982" s="3"/>
      <c r="B982" s="3"/>
      <c r="C982" s="3"/>
      <c r="D982" s="3"/>
      <c r="E982" s="3"/>
      <c r="F982" s="32"/>
      <c r="G982" s="1"/>
      <c r="H982" s="3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25.5" customHeight="1">
      <c r="A983" s="3"/>
      <c r="B983" s="3"/>
      <c r="C983" s="3"/>
      <c r="D983" s="3"/>
      <c r="E983" s="3"/>
      <c r="F983" s="32"/>
      <c r="G983" s="1"/>
      <c r="H983" s="3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25.5" customHeight="1">
      <c r="A984" s="3"/>
      <c r="B984" s="3"/>
      <c r="C984" s="3"/>
      <c r="D984" s="3"/>
      <c r="E984" s="3"/>
      <c r="F984" s="32"/>
      <c r="G984" s="1"/>
      <c r="H984" s="3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25.5" customHeight="1">
      <c r="A985" s="3"/>
      <c r="B985" s="3"/>
      <c r="C985" s="3"/>
      <c r="D985" s="3"/>
      <c r="E985" s="3"/>
      <c r="F985" s="32"/>
      <c r="G985" s="1"/>
      <c r="H985" s="3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25.5" customHeight="1">
      <c r="A986" s="3"/>
      <c r="B986" s="3"/>
      <c r="C986" s="3"/>
      <c r="D986" s="3"/>
      <c r="E986" s="3"/>
      <c r="F986" s="32"/>
      <c r="G986" s="1"/>
      <c r="H986" s="3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25.5" customHeight="1">
      <c r="A987" s="3"/>
      <c r="B987" s="3"/>
      <c r="C987" s="3"/>
      <c r="D987" s="3"/>
      <c r="E987" s="3"/>
      <c r="F987" s="32"/>
      <c r="G987" s="1"/>
      <c r="H987" s="3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25.5" customHeight="1">
      <c r="A988" s="3"/>
      <c r="B988" s="3"/>
      <c r="C988" s="3"/>
      <c r="D988" s="3"/>
      <c r="E988" s="3"/>
      <c r="F988" s="32"/>
      <c r="G988" s="1"/>
      <c r="H988" s="3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25.5" customHeight="1">
      <c r="A989" s="3"/>
      <c r="B989" s="3"/>
      <c r="C989" s="3"/>
      <c r="D989" s="3"/>
      <c r="E989" s="3"/>
      <c r="F989" s="32"/>
      <c r="G989" s="1"/>
      <c r="H989" s="3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25.5" customHeight="1">
      <c r="A990" s="3"/>
      <c r="B990" s="3"/>
      <c r="C990" s="3"/>
      <c r="D990" s="3"/>
      <c r="E990" s="3"/>
      <c r="F990" s="32"/>
      <c r="G990" s="1"/>
      <c r="H990" s="3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25.5" customHeight="1">
      <c r="A991" s="3"/>
      <c r="B991" s="3"/>
      <c r="C991" s="3"/>
      <c r="D991" s="3"/>
      <c r="E991" s="3"/>
      <c r="F991" s="32"/>
      <c r="G991" s="1"/>
      <c r="H991" s="3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25.5" customHeight="1">
      <c r="A992" s="3"/>
      <c r="B992" s="3"/>
      <c r="C992" s="3"/>
      <c r="D992" s="3"/>
      <c r="E992" s="3"/>
      <c r="F992" s="32"/>
      <c r="G992" s="1"/>
      <c r="H992" s="3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25.5" customHeight="1">
      <c r="A993" s="3"/>
      <c r="B993" s="3"/>
      <c r="C993" s="3"/>
      <c r="D993" s="3"/>
      <c r="E993" s="3"/>
      <c r="F993" s="32"/>
      <c r="G993" s="1"/>
      <c r="H993" s="3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25.5" customHeight="1">
      <c r="A994" s="3"/>
      <c r="B994" s="3"/>
      <c r="C994" s="3"/>
      <c r="D994" s="3"/>
      <c r="E994" s="3"/>
      <c r="F994" s="32"/>
      <c r="G994" s="1"/>
      <c r="H994" s="3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25.5" customHeight="1">
      <c r="A995" s="3"/>
      <c r="B995" s="3"/>
      <c r="C995" s="3"/>
      <c r="D995" s="3"/>
      <c r="E995" s="3"/>
      <c r="F995" s="32"/>
      <c r="G995" s="1"/>
      <c r="H995" s="3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25.5" customHeight="1">
      <c r="A996" s="3"/>
      <c r="B996" s="3"/>
      <c r="C996" s="3"/>
      <c r="D996" s="3"/>
      <c r="E996" s="3"/>
      <c r="F996" s="32"/>
      <c r="G996" s="1"/>
      <c r="H996" s="3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25.5" customHeight="1">
      <c r="A997" s="3"/>
      <c r="B997" s="3"/>
      <c r="C997" s="3"/>
      <c r="D997" s="3"/>
      <c r="E997" s="3"/>
      <c r="F997" s="32"/>
      <c r="G997" s="1"/>
      <c r="H997" s="3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25.5" customHeight="1">
      <c r="A998" s="3"/>
      <c r="B998" s="3"/>
      <c r="C998" s="3"/>
      <c r="D998" s="3"/>
      <c r="E998" s="3"/>
      <c r="F998" s="32"/>
      <c r="G998" s="1"/>
      <c r="H998" s="3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25.5" customHeight="1">
      <c r="A999" s="3"/>
      <c r="B999" s="3"/>
      <c r="C999" s="3"/>
      <c r="D999" s="3"/>
      <c r="E999" s="3"/>
      <c r="F999" s="32"/>
      <c r="G999" s="1"/>
      <c r="H999" s="3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25.5" customHeight="1">
      <c r="A1000" s="3"/>
      <c r="B1000" s="3"/>
      <c r="C1000" s="3"/>
      <c r="D1000" s="3"/>
      <c r="E1000" s="3"/>
      <c r="F1000" s="32"/>
      <c r="G1000" s="1"/>
      <c r="H1000" s="3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559">
    <mergeCell ref="A225:F225"/>
    <mergeCell ref="B226:D226"/>
    <mergeCell ref="B227:D227"/>
    <mergeCell ref="B228:D228"/>
    <mergeCell ref="B229:D229"/>
    <mergeCell ref="B230:D230"/>
    <mergeCell ref="B231:D231"/>
    <mergeCell ref="B232:D232"/>
    <mergeCell ref="B233:D233"/>
    <mergeCell ref="A234:E234"/>
    <mergeCell ref="A235:F235"/>
    <mergeCell ref="B236:D236"/>
    <mergeCell ref="B237:D237"/>
    <mergeCell ref="B238:D238"/>
    <mergeCell ref="B239:D239"/>
    <mergeCell ref="B240:D240"/>
    <mergeCell ref="B241:D241"/>
    <mergeCell ref="B242:D242"/>
    <mergeCell ref="B243:D243"/>
    <mergeCell ref="B244:D244"/>
    <mergeCell ref="B245:D245"/>
    <mergeCell ref="B246:D246"/>
    <mergeCell ref="B247:D247"/>
    <mergeCell ref="B248:D248"/>
    <mergeCell ref="B249:D249"/>
    <mergeCell ref="A250:E250"/>
    <mergeCell ref="A251:F251"/>
    <mergeCell ref="B252:D252"/>
    <mergeCell ref="B253:D253"/>
    <mergeCell ref="B254:D254"/>
    <mergeCell ref="B255:D255"/>
    <mergeCell ref="B256:D256"/>
    <mergeCell ref="B257:D257"/>
    <mergeCell ref="B258:D258"/>
    <mergeCell ref="B259:D259"/>
    <mergeCell ref="B260:D260"/>
    <mergeCell ref="B261:D261"/>
    <mergeCell ref="A262:E262"/>
    <mergeCell ref="A263:F263"/>
    <mergeCell ref="B264:D264"/>
    <mergeCell ref="B265:D265"/>
    <mergeCell ref="B266:D266"/>
    <mergeCell ref="B267:D267"/>
    <mergeCell ref="A268:E268"/>
    <mergeCell ref="A269:F269"/>
    <mergeCell ref="A270:F270"/>
    <mergeCell ref="B271:D271"/>
    <mergeCell ref="B272:D272"/>
    <mergeCell ref="B273:D273"/>
    <mergeCell ref="B274:D274"/>
    <mergeCell ref="B275:D275"/>
    <mergeCell ref="B276:D276"/>
    <mergeCell ref="B277:D277"/>
    <mergeCell ref="B278:D278"/>
    <mergeCell ref="B279:D279"/>
    <mergeCell ref="B280:D280"/>
    <mergeCell ref="B281:D281"/>
    <mergeCell ref="B282:D282"/>
    <mergeCell ref="B283:D283"/>
    <mergeCell ref="A284:F284"/>
    <mergeCell ref="B285:D285"/>
    <mergeCell ref="B286:D286"/>
    <mergeCell ref="B287:D287"/>
    <mergeCell ref="B288:D288"/>
    <mergeCell ref="B289:D289"/>
    <mergeCell ref="B290:D290"/>
    <mergeCell ref="A291:E291"/>
    <mergeCell ref="A292:F292"/>
    <mergeCell ref="B293:D293"/>
    <mergeCell ref="B294:D294"/>
    <mergeCell ref="B295:D295"/>
    <mergeCell ref="B296:D296"/>
    <mergeCell ref="A297:F297"/>
    <mergeCell ref="B298:D298"/>
    <mergeCell ref="B299:D299"/>
    <mergeCell ref="A300:F300"/>
    <mergeCell ref="B301:D301"/>
    <mergeCell ref="B302:D302"/>
    <mergeCell ref="B303:D303"/>
    <mergeCell ref="B304:D304"/>
    <mergeCell ref="B305:D305"/>
    <mergeCell ref="A306:F306"/>
    <mergeCell ref="B307:D307"/>
    <mergeCell ref="B308:D308"/>
    <mergeCell ref="B309:D309"/>
    <mergeCell ref="B310:D310"/>
    <mergeCell ref="B311:D311"/>
    <mergeCell ref="B312:D312"/>
    <mergeCell ref="B313:D313"/>
    <mergeCell ref="B314:D314"/>
    <mergeCell ref="B315:D315"/>
    <mergeCell ref="B316:D316"/>
    <mergeCell ref="B317:D317"/>
    <mergeCell ref="B318:D318"/>
    <mergeCell ref="B319:D319"/>
    <mergeCell ref="A320:E320"/>
    <mergeCell ref="A321:F321"/>
    <mergeCell ref="B322:D322"/>
    <mergeCell ref="B365:D365"/>
    <mergeCell ref="B343:D343"/>
    <mergeCell ref="B344:D344"/>
    <mergeCell ref="A345:E345"/>
    <mergeCell ref="A346:F346"/>
    <mergeCell ref="B347:D347"/>
    <mergeCell ref="B348:D348"/>
    <mergeCell ref="B349:D349"/>
    <mergeCell ref="B350:D350"/>
    <mergeCell ref="B351:D351"/>
    <mergeCell ref="A352:E352"/>
    <mergeCell ref="A353:F353"/>
    <mergeCell ref="A354:F354"/>
    <mergeCell ref="B355:D355"/>
    <mergeCell ref="B356:D356"/>
    <mergeCell ref="B357:D357"/>
    <mergeCell ref="B341:D341"/>
    <mergeCell ref="B342:D342"/>
    <mergeCell ref="B366:D366"/>
    <mergeCell ref="A367:E367"/>
    <mergeCell ref="A368:F368"/>
    <mergeCell ref="B369:D369"/>
    <mergeCell ref="B370:D370"/>
    <mergeCell ref="B371:D371"/>
    <mergeCell ref="B372:D372"/>
    <mergeCell ref="B332:D332"/>
    <mergeCell ref="B333:D333"/>
    <mergeCell ref="B334:D334"/>
    <mergeCell ref="B335:D335"/>
    <mergeCell ref="B336:D336"/>
    <mergeCell ref="B337:D337"/>
    <mergeCell ref="B338:D338"/>
    <mergeCell ref="B339:D339"/>
    <mergeCell ref="B340:D340"/>
    <mergeCell ref="B323:D323"/>
    <mergeCell ref="B324:D324"/>
    <mergeCell ref="B325:D325"/>
    <mergeCell ref="B326:D326"/>
    <mergeCell ref="B327:D327"/>
    <mergeCell ref="B328:D328"/>
    <mergeCell ref="B329:D329"/>
    <mergeCell ref="B330:D330"/>
    <mergeCell ref="B331:D331"/>
    <mergeCell ref="B358:D358"/>
    <mergeCell ref="B359:D359"/>
    <mergeCell ref="B360:D360"/>
    <mergeCell ref="B361:D361"/>
    <mergeCell ref="B362:D362"/>
    <mergeCell ref="B363:D363"/>
    <mergeCell ref="B364:D364"/>
    <mergeCell ref="B379:D379"/>
    <mergeCell ref="B380:D380"/>
    <mergeCell ref="B375:D375"/>
    <mergeCell ref="B376:D376"/>
    <mergeCell ref="A377:E377"/>
    <mergeCell ref="A378:F378"/>
    <mergeCell ref="B373:D373"/>
    <mergeCell ref="B374:D374"/>
    <mergeCell ref="A381:E381"/>
    <mergeCell ref="A382:F382"/>
    <mergeCell ref="B383:D383"/>
    <mergeCell ref="B384:D384"/>
    <mergeCell ref="B385:D385"/>
    <mergeCell ref="A386:E386"/>
    <mergeCell ref="A387:F387"/>
    <mergeCell ref="B388:D388"/>
    <mergeCell ref="B389:D389"/>
    <mergeCell ref="B390:D390"/>
    <mergeCell ref="B391:D391"/>
    <mergeCell ref="A392:E392"/>
    <mergeCell ref="A393:F393"/>
    <mergeCell ref="B394:D394"/>
    <mergeCell ref="B395:D395"/>
    <mergeCell ref="B396:D396"/>
    <mergeCell ref="B397:D397"/>
    <mergeCell ref="B398:D398"/>
    <mergeCell ref="B399:D399"/>
    <mergeCell ref="B400:D400"/>
    <mergeCell ref="B401:D401"/>
    <mergeCell ref="B402:D402"/>
    <mergeCell ref="B403:D403"/>
    <mergeCell ref="B404:D404"/>
    <mergeCell ref="B405:D405"/>
    <mergeCell ref="A406:E406"/>
    <mergeCell ref="A407:F407"/>
    <mergeCell ref="B408:D408"/>
    <mergeCell ref="B409:D409"/>
    <mergeCell ref="B410:D410"/>
    <mergeCell ref="B411:D411"/>
    <mergeCell ref="B412:D412"/>
    <mergeCell ref="B413:D413"/>
    <mergeCell ref="B414:D414"/>
    <mergeCell ref="B415:D415"/>
    <mergeCell ref="B416:D416"/>
    <mergeCell ref="B417:D417"/>
    <mergeCell ref="B418:D418"/>
    <mergeCell ref="B419:D419"/>
    <mergeCell ref="B420:D420"/>
    <mergeCell ref="B421:D421"/>
    <mergeCell ref="B422:D422"/>
    <mergeCell ref="A423:E423"/>
    <mergeCell ref="A424:F424"/>
    <mergeCell ref="B425:D425"/>
    <mergeCell ref="B426:D426"/>
    <mergeCell ref="B427:D427"/>
    <mergeCell ref="B442:D442"/>
    <mergeCell ref="B443:D443"/>
    <mergeCell ref="B444:D444"/>
    <mergeCell ref="B445:D445"/>
    <mergeCell ref="B446:D446"/>
    <mergeCell ref="B447:D447"/>
    <mergeCell ref="B448:D448"/>
    <mergeCell ref="B438:D438"/>
    <mergeCell ref="B439:D439"/>
    <mergeCell ref="B440:D440"/>
    <mergeCell ref="B441:D441"/>
    <mergeCell ref="A505:H505"/>
    <mergeCell ref="C506:E506"/>
    <mergeCell ref="F506:G507"/>
    <mergeCell ref="H506:H507"/>
    <mergeCell ref="F508:G508"/>
    <mergeCell ref="A429:E429"/>
    <mergeCell ref="A430:F430"/>
    <mergeCell ref="B431:D431"/>
    <mergeCell ref="B432:D432"/>
    <mergeCell ref="B433:D433"/>
    <mergeCell ref="B434:D434"/>
    <mergeCell ref="A435:E435"/>
    <mergeCell ref="A436:F436"/>
    <mergeCell ref="B437:D437"/>
    <mergeCell ref="F509:G509"/>
    <mergeCell ref="F510:G510"/>
    <mergeCell ref="F511:G511"/>
    <mergeCell ref="F512:G512"/>
    <mergeCell ref="F513:G513"/>
    <mergeCell ref="F514:G514"/>
    <mergeCell ref="F515:G515"/>
    <mergeCell ref="A516:H516"/>
    <mergeCell ref="F517:G517"/>
    <mergeCell ref="F518:G518"/>
    <mergeCell ref="F519:G519"/>
    <mergeCell ref="F520:G520"/>
    <mergeCell ref="F521:G521"/>
    <mergeCell ref="F522:G522"/>
    <mergeCell ref="A523:H523"/>
    <mergeCell ref="F524:G524"/>
    <mergeCell ref="F525:G525"/>
    <mergeCell ref="F526:G526"/>
    <mergeCell ref="A527:H527"/>
    <mergeCell ref="C528:G528"/>
    <mergeCell ref="C529:G529"/>
    <mergeCell ref="C530:G530"/>
    <mergeCell ref="C531:G531"/>
    <mergeCell ref="C553:G553"/>
    <mergeCell ref="C554:G554"/>
    <mergeCell ref="C555:G555"/>
    <mergeCell ref="C556:G556"/>
    <mergeCell ref="C541:G541"/>
    <mergeCell ref="C542:G542"/>
    <mergeCell ref="A543:H543"/>
    <mergeCell ref="C544:G544"/>
    <mergeCell ref="C545:G545"/>
    <mergeCell ref="C532:G532"/>
    <mergeCell ref="C533:G533"/>
    <mergeCell ref="C534:G534"/>
    <mergeCell ref="C535:G535"/>
    <mergeCell ref="A536:H536"/>
    <mergeCell ref="C537:G537"/>
    <mergeCell ref="C538:G538"/>
    <mergeCell ref="C539:G539"/>
    <mergeCell ref="C540:G540"/>
    <mergeCell ref="C557:G557"/>
    <mergeCell ref="C558:G558"/>
    <mergeCell ref="C559:G559"/>
    <mergeCell ref="A560:G560"/>
    <mergeCell ref="C546:G546"/>
    <mergeCell ref="C547:G547"/>
    <mergeCell ref="C548:G548"/>
    <mergeCell ref="C549:G549"/>
    <mergeCell ref="C550:G550"/>
    <mergeCell ref="C551:G551"/>
    <mergeCell ref="C552:G552"/>
    <mergeCell ref="B19:D19"/>
    <mergeCell ref="B43:D43"/>
    <mergeCell ref="B44:D44"/>
    <mergeCell ref="A45:F45"/>
    <mergeCell ref="B46:D46"/>
    <mergeCell ref="B47:D47"/>
    <mergeCell ref="B48:D48"/>
    <mergeCell ref="B49:D49"/>
    <mergeCell ref="A50:E50"/>
    <mergeCell ref="A10:F10"/>
    <mergeCell ref="B11:D11"/>
    <mergeCell ref="B12:D12"/>
    <mergeCell ref="B13:D13"/>
    <mergeCell ref="B14:D14"/>
    <mergeCell ref="B15:D15"/>
    <mergeCell ref="A16:F16"/>
    <mergeCell ref="B17:D17"/>
    <mergeCell ref="B18:D18"/>
    <mergeCell ref="A1:F1"/>
    <mergeCell ref="A2:F2"/>
    <mergeCell ref="A3:F3"/>
    <mergeCell ref="A7:A8"/>
    <mergeCell ref="E7:E8"/>
    <mergeCell ref="F7:F8"/>
    <mergeCell ref="A4:F6"/>
    <mergeCell ref="B7:D8"/>
    <mergeCell ref="A9:F9"/>
    <mergeCell ref="B20:D20"/>
    <mergeCell ref="B21:D21"/>
    <mergeCell ref="B22:D22"/>
    <mergeCell ref="B23:D23"/>
    <mergeCell ref="B24:D24"/>
    <mergeCell ref="A25:F25"/>
    <mergeCell ref="B26:D26"/>
    <mergeCell ref="B27:D27"/>
    <mergeCell ref="B28:D28"/>
    <mergeCell ref="B29:D29"/>
    <mergeCell ref="A30:F30"/>
    <mergeCell ref="B31:D31"/>
    <mergeCell ref="B32:D32"/>
    <mergeCell ref="B33:D33"/>
    <mergeCell ref="B34:D34"/>
    <mergeCell ref="B35:D35"/>
    <mergeCell ref="B36:D36"/>
    <mergeCell ref="B37:D37"/>
    <mergeCell ref="B38:D38"/>
    <mergeCell ref="B39:D39"/>
    <mergeCell ref="A40:F40"/>
    <mergeCell ref="B41:D41"/>
    <mergeCell ref="B42:D42"/>
    <mergeCell ref="B57:D57"/>
    <mergeCell ref="B58:D58"/>
    <mergeCell ref="B59:D59"/>
    <mergeCell ref="B60:D60"/>
    <mergeCell ref="B52:D52"/>
    <mergeCell ref="B53:D53"/>
    <mergeCell ref="B54:D54"/>
    <mergeCell ref="B55:D55"/>
    <mergeCell ref="B56:D56"/>
    <mergeCell ref="A51:F51"/>
    <mergeCell ref="B61:D61"/>
    <mergeCell ref="B62:D62"/>
    <mergeCell ref="B63:D63"/>
    <mergeCell ref="B64:D64"/>
    <mergeCell ref="B65:D65"/>
    <mergeCell ref="B66:D66"/>
    <mergeCell ref="A67:E67"/>
    <mergeCell ref="A68:F68"/>
    <mergeCell ref="B69:D69"/>
    <mergeCell ref="B70:D70"/>
    <mergeCell ref="B71:D71"/>
    <mergeCell ref="B72:D72"/>
    <mergeCell ref="B73:D73"/>
    <mergeCell ref="B74:D74"/>
    <mergeCell ref="B75:D75"/>
    <mergeCell ref="B76:D76"/>
    <mergeCell ref="B77:D77"/>
    <mergeCell ref="B78:D78"/>
    <mergeCell ref="B79:D79"/>
    <mergeCell ref="B80:D80"/>
    <mergeCell ref="B81:D81"/>
    <mergeCell ref="B82:D82"/>
    <mergeCell ref="B83:D83"/>
    <mergeCell ref="B84:D84"/>
    <mergeCell ref="B85:D85"/>
    <mergeCell ref="B86:D86"/>
    <mergeCell ref="A87:F87"/>
    <mergeCell ref="B88:D88"/>
    <mergeCell ref="B89:D89"/>
    <mergeCell ref="A90:E90"/>
    <mergeCell ref="A91:F91"/>
    <mergeCell ref="B92:D92"/>
    <mergeCell ref="B93:D93"/>
    <mergeCell ref="B94:D94"/>
    <mergeCell ref="A95:E95"/>
    <mergeCell ref="A96:F96"/>
    <mergeCell ref="B97:D97"/>
    <mergeCell ref="B98:D98"/>
    <mergeCell ref="B99:D99"/>
    <mergeCell ref="A100:F100"/>
    <mergeCell ref="B101:D101"/>
    <mergeCell ref="B102:D102"/>
    <mergeCell ref="A103:E103"/>
    <mergeCell ref="A104:F104"/>
    <mergeCell ref="B105:D105"/>
    <mergeCell ref="B106:D106"/>
    <mergeCell ref="B107:D107"/>
    <mergeCell ref="B108:D108"/>
    <mergeCell ref="A109:E109"/>
    <mergeCell ref="A110:F110"/>
    <mergeCell ref="B111:D111"/>
    <mergeCell ref="B112:D112"/>
    <mergeCell ref="B113:D113"/>
    <mergeCell ref="B114:D114"/>
    <mergeCell ref="B115:D115"/>
    <mergeCell ref="B116:D116"/>
    <mergeCell ref="B117:D117"/>
    <mergeCell ref="B118:D118"/>
    <mergeCell ref="B119:D119"/>
    <mergeCell ref="A120:E120"/>
    <mergeCell ref="A121:F121"/>
    <mergeCell ref="A122:F122"/>
    <mergeCell ref="B123:D123"/>
    <mergeCell ref="B124:D124"/>
    <mergeCell ref="B125:D125"/>
    <mergeCell ref="B126:D126"/>
    <mergeCell ref="B127:D127"/>
    <mergeCell ref="A128:F128"/>
    <mergeCell ref="B129:D129"/>
    <mergeCell ref="B130:D130"/>
    <mergeCell ref="B131:D131"/>
    <mergeCell ref="B132:D132"/>
    <mergeCell ref="B133:D133"/>
    <mergeCell ref="B134:D134"/>
    <mergeCell ref="B135:D135"/>
    <mergeCell ref="B136:D136"/>
    <mergeCell ref="B137:D137"/>
    <mergeCell ref="B138:D138"/>
    <mergeCell ref="B139:D139"/>
    <mergeCell ref="A140:E140"/>
    <mergeCell ref="A141:F141"/>
    <mergeCell ref="B142:D142"/>
    <mergeCell ref="B143:D143"/>
    <mergeCell ref="B144:D144"/>
    <mergeCell ref="B145:D145"/>
    <mergeCell ref="B146:D146"/>
    <mergeCell ref="B147:D147"/>
    <mergeCell ref="B148:D148"/>
    <mergeCell ref="B149:D149"/>
    <mergeCell ref="B150:D150"/>
    <mergeCell ref="B188:D188"/>
    <mergeCell ref="B189:D189"/>
    <mergeCell ref="B190:D190"/>
    <mergeCell ref="B191:D191"/>
    <mergeCell ref="B192:D192"/>
    <mergeCell ref="A193:E193"/>
    <mergeCell ref="B151:D151"/>
    <mergeCell ref="B152:D152"/>
    <mergeCell ref="B153:D153"/>
    <mergeCell ref="B154:D154"/>
    <mergeCell ref="B155:D155"/>
    <mergeCell ref="B156:D156"/>
    <mergeCell ref="B157:D157"/>
    <mergeCell ref="B158:D158"/>
    <mergeCell ref="B159:D159"/>
    <mergeCell ref="B179:D179"/>
    <mergeCell ref="B180:D180"/>
    <mergeCell ref="B181:D181"/>
    <mergeCell ref="B182:D182"/>
    <mergeCell ref="B183:D183"/>
    <mergeCell ref="B184:D184"/>
    <mergeCell ref="B185:D185"/>
    <mergeCell ref="A186:F186"/>
    <mergeCell ref="B187:D187"/>
    <mergeCell ref="B171:D171"/>
    <mergeCell ref="B172:D172"/>
    <mergeCell ref="B173:D173"/>
    <mergeCell ref="A174:E174"/>
    <mergeCell ref="A175:F175"/>
    <mergeCell ref="B176:D176"/>
    <mergeCell ref="B177:D177"/>
    <mergeCell ref="B178:D178"/>
    <mergeCell ref="B160:D160"/>
    <mergeCell ref="A161:F161"/>
    <mergeCell ref="B162:D162"/>
    <mergeCell ref="B163:D163"/>
    <mergeCell ref="B164:D164"/>
    <mergeCell ref="B165:D165"/>
    <mergeCell ref="B166:D166"/>
    <mergeCell ref="B167:D167"/>
    <mergeCell ref="B168:D168"/>
    <mergeCell ref="B169:D169"/>
    <mergeCell ref="B170:D170"/>
    <mergeCell ref="A194:F194"/>
    <mergeCell ref="B195:D195"/>
    <mergeCell ref="B196:D196"/>
    <mergeCell ref="B197:D197"/>
    <mergeCell ref="B198:D198"/>
    <mergeCell ref="B199:D199"/>
    <mergeCell ref="B200:D200"/>
    <mergeCell ref="B201:D201"/>
    <mergeCell ref="B202:D202"/>
    <mergeCell ref="B203:D203"/>
    <mergeCell ref="B218:D218"/>
    <mergeCell ref="B219:D219"/>
    <mergeCell ref="B220:D220"/>
    <mergeCell ref="B221:D221"/>
    <mergeCell ref="B222:D222"/>
    <mergeCell ref="B223:D223"/>
    <mergeCell ref="A224:E224"/>
    <mergeCell ref="B449:D449"/>
    <mergeCell ref="B211:D211"/>
    <mergeCell ref="B212:D212"/>
    <mergeCell ref="A213:E213"/>
    <mergeCell ref="A214:F214"/>
    <mergeCell ref="B215:D215"/>
    <mergeCell ref="B216:D216"/>
    <mergeCell ref="B217:D217"/>
    <mergeCell ref="B204:D204"/>
    <mergeCell ref="B205:D205"/>
    <mergeCell ref="A206:E206"/>
    <mergeCell ref="A207:F207"/>
    <mergeCell ref="B208:D208"/>
    <mergeCell ref="B209:D209"/>
    <mergeCell ref="B210:D210"/>
    <mergeCell ref="B428:D428"/>
    <mergeCell ref="B450:D450"/>
    <mergeCell ref="B451:D451"/>
    <mergeCell ref="B452:D452"/>
    <mergeCell ref="A453:E453"/>
    <mergeCell ref="A454:F454"/>
    <mergeCell ref="B455:D455"/>
    <mergeCell ref="B456:D456"/>
    <mergeCell ref="B457:D457"/>
    <mergeCell ref="B458:D458"/>
    <mergeCell ref="B459:D459"/>
    <mergeCell ref="B460:D460"/>
    <mergeCell ref="B461:D461"/>
    <mergeCell ref="B462:D462"/>
    <mergeCell ref="A463:E463"/>
    <mergeCell ref="A464:F464"/>
    <mergeCell ref="A465:F465"/>
    <mergeCell ref="B466:D466"/>
    <mergeCell ref="B467:D467"/>
    <mergeCell ref="B468:D468"/>
    <mergeCell ref="B469:D469"/>
    <mergeCell ref="B470:D470"/>
    <mergeCell ref="B471:D471"/>
    <mergeCell ref="B472:D472"/>
    <mergeCell ref="B473:D473"/>
    <mergeCell ref="B474:D474"/>
    <mergeCell ref="B475:D475"/>
    <mergeCell ref="A476:F476"/>
    <mergeCell ref="B477:D477"/>
    <mergeCell ref="B478:D478"/>
    <mergeCell ref="B479:D479"/>
    <mergeCell ref="B480:D480"/>
    <mergeCell ref="B481:D481"/>
    <mergeCell ref="B482:D482"/>
    <mergeCell ref="B483:D483"/>
    <mergeCell ref="B484:D484"/>
    <mergeCell ref="B485:D485"/>
    <mergeCell ref="A502:F504"/>
    <mergeCell ref="B491:D491"/>
    <mergeCell ref="A492:F492"/>
    <mergeCell ref="B493:D493"/>
    <mergeCell ref="B494:D494"/>
    <mergeCell ref="B495:D495"/>
    <mergeCell ref="A496:F496"/>
    <mergeCell ref="B497:D497"/>
    <mergeCell ref="B486:D486"/>
    <mergeCell ref="B487:D487"/>
    <mergeCell ref="B488:D488"/>
    <mergeCell ref="B489:D489"/>
    <mergeCell ref="B490:D490"/>
    <mergeCell ref="B498:D498"/>
    <mergeCell ref="B499:D499"/>
    <mergeCell ref="B500:D500"/>
    <mergeCell ref="A501:E501"/>
  </mergeCells>
  <conditionalFormatting sqref="E11:E15 E17:E24 E26:E29 E31:E39 E41:E44 E46:E49 E52:E66 E69:E86 E88:E89 E92:E94 E97:E99 E101:E102 E105:E108 E111:E119 E123:E127 E129:E139 E142:E160 E162:E173 E176:E185 E187:E192 E195:E205 E208:E212 E215:E223 E226:E233 E236:E249 E252:E261 E264:E267 E271:E283 E285:E290 E293:E296 E298:E299 E301:E305 E307:E319 E322:E344 E347:E351 E355:E366 E369:E376 E379:E380 E383:E385 E388:E391 E394:E405 E408:E422 E425:E428 E431:E434 E437:E452 E455:E462 E466:E475 E477:E491 E493:E495 E497:E500">
    <cfRule type="containsBlanks" dxfId="41" priority="1">
      <formula>LEN(TRIM(E11))=0</formula>
    </cfRule>
    <cfRule type="cellIs" dxfId="40" priority="2" operator="equal">
      <formula>"N/A"</formula>
    </cfRule>
    <cfRule type="cellIs" dxfId="39" priority="3" operator="equal">
      <formula>2</formula>
    </cfRule>
    <cfRule type="cellIs" dxfId="38" priority="4" operator="equal">
      <formula>1</formula>
    </cfRule>
  </conditionalFormatting>
  <conditionalFormatting sqref="H508:H515 H517:H522 H524:H526 H529:H535 H538:H542 H545:H559">
    <cfRule type="containsBlanks" dxfId="37" priority="5">
      <formula>LEN(TRIM(H508))=0</formula>
    </cfRule>
    <cfRule type="cellIs" dxfId="36" priority="6" operator="equal">
      <formula>"N/A"</formula>
    </cfRule>
    <cfRule type="cellIs" dxfId="35" priority="7" operator="equal">
      <formula>2</formula>
    </cfRule>
    <cfRule type="cellIs" dxfId="34" priority="8" operator="equal">
      <formula>1</formula>
    </cfRule>
  </conditionalFormatting>
  <pageMargins left="0.69" right="0.59" top="1" bottom="0.79" header="0" footer="0"/>
  <pageSetup paperSize="9" scale="10"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000-000000000000}">
          <x14:formula1>
            <xm:f>'dont delete or edit'!$A$1:$A$4</xm:f>
          </x14:formula1>
          <xm:sqref>E11:E15 E17:E24 E26:E29 E31:E39 E41:E44 E46:E49 E52:E66 E69:E86 E88:E89 E92:E94 E97:E99 E101:E102 E105:E108 E111:E119 E123:E127 E129:E139 E142:E160 E162:E173 E176:E185 E187:E192 E195:E205 E208:E212 E215:E223 E226:E233 E236:E249 E252:E261 E264:E267 E271:E283 E285:E290 E293:E296 E298:E299 E301:E305 E307:E319 E322:E344 E347:E351 E355:E366 E369:E376 E379:E380 E383:E385 E388:E391 E394:E405 E408:E422 E425:E428 E431:E434 E437:E452 E455:E462 E466:E475 E477:E491 E493:E495 E497:E500 H508:H515 H517:H522 H524:H526 H529:H535 H538:H542 H545:H559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0C0"/>
  </sheetPr>
  <dimension ref="A1:Z1000"/>
  <sheetViews>
    <sheetView showGridLines="0" rightToLeft="1" topLeftCell="A156" workbookViewId="0">
      <selection activeCell="G118" sqref="G118"/>
    </sheetView>
  </sheetViews>
  <sheetFormatPr defaultColWidth="14.42578125" defaultRowHeight="15" customHeight="1"/>
  <cols>
    <col min="1" max="1" width="3.7109375" customWidth="1"/>
    <col min="2" max="2" width="59.85546875" customWidth="1"/>
    <col min="3" max="3" width="15.7109375" customWidth="1"/>
    <col min="4" max="4" width="18.7109375" customWidth="1"/>
    <col min="5" max="5" width="19.28515625" customWidth="1"/>
    <col min="6" max="6" width="29.42578125" customWidth="1"/>
    <col min="7" max="7" width="7.7109375" customWidth="1"/>
    <col min="8" max="26" width="19.85546875" customWidth="1"/>
  </cols>
  <sheetData>
    <row r="1" spans="1:26" ht="18.75" customHeight="1">
      <c r="A1" s="163" t="s">
        <v>590</v>
      </c>
      <c r="B1" s="109"/>
      <c r="C1" s="109"/>
      <c r="D1" s="109"/>
      <c r="E1" s="109"/>
      <c r="F1" s="109"/>
      <c r="G1" s="64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</row>
    <row r="2" spans="1:26" ht="18.75" customHeight="1">
      <c r="A2" s="65"/>
      <c r="B2" s="81"/>
      <c r="C2" s="81"/>
      <c r="D2" s="81"/>
      <c r="E2" s="81"/>
      <c r="F2" s="81"/>
      <c r="G2" s="66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 spans="1:26" ht="18.75" customHeight="1">
      <c r="A3" s="164"/>
      <c r="B3" s="155"/>
      <c r="C3" s="155"/>
      <c r="D3" s="155"/>
      <c r="E3" s="155"/>
      <c r="F3" s="155"/>
      <c r="G3" s="165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</row>
    <row r="4" spans="1:26" ht="18.75" customHeight="1">
      <c r="A4" s="157" t="s">
        <v>591</v>
      </c>
      <c r="B4" s="159" t="s">
        <v>592</v>
      </c>
      <c r="C4" s="161" t="s">
        <v>474</v>
      </c>
      <c r="D4" s="143"/>
      <c r="E4" s="144"/>
      <c r="F4" s="159" t="s">
        <v>7</v>
      </c>
      <c r="G4" s="162" t="s">
        <v>476</v>
      </c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</row>
    <row r="5" spans="1:26" ht="18.75" customHeight="1">
      <c r="A5" s="158"/>
      <c r="B5" s="160"/>
      <c r="C5" s="34">
        <v>0</v>
      </c>
      <c r="D5" s="34">
        <v>1</v>
      </c>
      <c r="E5" s="34">
        <v>2</v>
      </c>
      <c r="F5" s="160"/>
      <c r="G5" s="150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</row>
    <row r="6" spans="1:26" ht="18.75" customHeight="1">
      <c r="A6" s="15">
        <v>1</v>
      </c>
      <c r="B6" s="35" t="s">
        <v>593</v>
      </c>
      <c r="C6" s="35" t="s">
        <v>29</v>
      </c>
      <c r="D6" s="35" t="s">
        <v>594</v>
      </c>
      <c r="E6" s="35" t="s">
        <v>595</v>
      </c>
      <c r="F6" s="35"/>
      <c r="G6" s="6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</row>
    <row r="7" spans="1:26" ht="18.75" customHeight="1">
      <c r="A7" s="15">
        <v>2</v>
      </c>
      <c r="B7" s="35" t="s">
        <v>596</v>
      </c>
      <c r="C7" s="35" t="s">
        <v>597</v>
      </c>
      <c r="D7" s="35" t="s">
        <v>598</v>
      </c>
      <c r="E7" s="35" t="s">
        <v>599</v>
      </c>
      <c r="F7" s="35"/>
      <c r="G7" s="6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</row>
    <row r="8" spans="1:26" ht="18.75" customHeight="1">
      <c r="A8" s="15">
        <v>3</v>
      </c>
      <c r="B8" s="35" t="s">
        <v>600</v>
      </c>
      <c r="C8" s="35" t="s">
        <v>601</v>
      </c>
      <c r="D8" s="35" t="s">
        <v>602</v>
      </c>
      <c r="E8" s="35" t="s">
        <v>603</v>
      </c>
      <c r="F8" s="35"/>
      <c r="G8" s="6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 spans="1:26" ht="18.75" customHeight="1">
      <c r="A9" s="15">
        <v>4</v>
      </c>
      <c r="B9" s="35" t="s">
        <v>604</v>
      </c>
      <c r="C9" s="35" t="s">
        <v>29</v>
      </c>
      <c r="D9" s="35" t="s">
        <v>605</v>
      </c>
      <c r="E9" s="35" t="s">
        <v>606</v>
      </c>
      <c r="F9" s="35"/>
      <c r="G9" s="6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</row>
    <row r="10" spans="1:26" ht="18.75" customHeight="1">
      <c r="A10" s="15">
        <v>5</v>
      </c>
      <c r="B10" s="35" t="s">
        <v>608</v>
      </c>
      <c r="C10" s="35" t="s">
        <v>29</v>
      </c>
      <c r="D10" s="35" t="s">
        <v>609</v>
      </c>
      <c r="E10" s="35" t="s">
        <v>610</v>
      </c>
      <c r="F10" s="35"/>
      <c r="G10" s="6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r="11" spans="1:26" ht="18.75" customHeight="1">
      <c r="A11" s="15">
        <v>6</v>
      </c>
      <c r="B11" s="35" t="s">
        <v>611</v>
      </c>
      <c r="C11" s="35" t="s">
        <v>29</v>
      </c>
      <c r="D11" s="35" t="s">
        <v>612</v>
      </c>
      <c r="E11" s="35" t="s">
        <v>613</v>
      </c>
      <c r="F11" s="35"/>
      <c r="G11" s="6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</row>
    <row r="12" spans="1:26" ht="18.75" customHeight="1">
      <c r="A12" s="15">
        <v>7</v>
      </c>
      <c r="B12" s="35" t="s">
        <v>614</v>
      </c>
      <c r="C12" s="35" t="s">
        <v>615</v>
      </c>
      <c r="D12" s="35" t="s">
        <v>609</v>
      </c>
      <c r="E12" s="35" t="s">
        <v>616</v>
      </c>
      <c r="F12" s="35"/>
      <c r="G12" s="6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</row>
    <row r="13" spans="1:26" ht="18.75" customHeight="1">
      <c r="A13" s="15">
        <v>8</v>
      </c>
      <c r="B13" s="35" t="s">
        <v>617</v>
      </c>
      <c r="C13" s="35" t="s">
        <v>601</v>
      </c>
      <c r="D13" s="35" t="s">
        <v>618</v>
      </c>
      <c r="E13" s="35" t="s">
        <v>619</v>
      </c>
      <c r="F13" s="35"/>
      <c r="G13" s="6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</row>
    <row r="14" spans="1:26" ht="18.75" customHeight="1">
      <c r="A14" s="15">
        <v>9</v>
      </c>
      <c r="B14" s="35" t="s">
        <v>620</v>
      </c>
      <c r="C14" s="35" t="s">
        <v>607</v>
      </c>
      <c r="D14" s="35" t="s">
        <v>621</v>
      </c>
      <c r="E14" s="35" t="s">
        <v>622</v>
      </c>
      <c r="F14" s="35"/>
      <c r="G14" s="6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r="15" spans="1:26" ht="18.75" customHeight="1">
      <c r="A15" s="15">
        <v>10</v>
      </c>
      <c r="B15" s="35" t="s">
        <v>623</v>
      </c>
      <c r="C15" s="35">
        <v>2019</v>
      </c>
      <c r="D15" s="35">
        <v>2021</v>
      </c>
      <c r="E15" s="35">
        <v>2023</v>
      </c>
      <c r="F15" s="35"/>
      <c r="G15" s="6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</row>
    <row r="16" spans="1:26" ht="18.75" customHeight="1">
      <c r="A16" s="15">
        <v>11</v>
      </c>
      <c r="B16" s="35" t="s">
        <v>624</v>
      </c>
      <c r="C16" s="35" t="s">
        <v>625</v>
      </c>
      <c r="D16" s="35" t="s">
        <v>626</v>
      </c>
      <c r="E16" s="35" t="s">
        <v>627</v>
      </c>
      <c r="F16" s="35"/>
      <c r="G16" s="6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</row>
    <row r="17" spans="1:26" ht="18.75" customHeight="1">
      <c r="A17" s="15">
        <v>12</v>
      </c>
      <c r="B17" s="35" t="s">
        <v>628</v>
      </c>
      <c r="C17" s="35" t="s">
        <v>629</v>
      </c>
      <c r="D17" s="35" t="s">
        <v>630</v>
      </c>
      <c r="E17" s="35" t="s">
        <v>631</v>
      </c>
      <c r="F17" s="35"/>
      <c r="G17" s="6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</row>
    <row r="18" spans="1:26" ht="18.75" customHeight="1">
      <c r="A18" s="15">
        <v>13</v>
      </c>
      <c r="B18" s="35" t="s">
        <v>632</v>
      </c>
      <c r="C18" s="35" t="s">
        <v>29</v>
      </c>
      <c r="D18" s="35" t="s">
        <v>633</v>
      </c>
      <c r="E18" s="35" t="s">
        <v>634</v>
      </c>
      <c r="F18" s="35"/>
      <c r="G18" s="6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</row>
    <row r="19" spans="1:26" ht="18.75" customHeight="1">
      <c r="A19" s="15">
        <v>14</v>
      </c>
      <c r="B19" s="35" t="s">
        <v>635</v>
      </c>
      <c r="C19" s="35" t="s">
        <v>29</v>
      </c>
      <c r="D19" s="35" t="s">
        <v>636</v>
      </c>
      <c r="E19" s="35" t="s">
        <v>637</v>
      </c>
      <c r="F19" s="35"/>
      <c r="G19" s="6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</row>
    <row r="20" spans="1:26" ht="18.75" customHeight="1">
      <c r="A20" s="125" t="s">
        <v>638</v>
      </c>
      <c r="B20" s="89"/>
      <c r="C20" s="89"/>
      <c r="D20" s="89"/>
      <c r="E20" s="89"/>
      <c r="F20" s="153"/>
      <c r="G20" s="36" t="str">
        <f>IF(COUNT(G6:G19)=0,"N/A",SUM((G6:G19))/(COUNT((G6:G19))*2))</f>
        <v>N/A</v>
      </c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</row>
    <row r="21" spans="1:26" ht="18.75" customHeight="1">
      <c r="A21" s="154"/>
      <c r="B21" s="112"/>
      <c r="C21" s="112"/>
      <c r="D21" s="112"/>
      <c r="E21" s="112"/>
      <c r="F21" s="112"/>
      <c r="G21" s="112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</row>
    <row r="22" spans="1:26" ht="18.75" customHeight="1">
      <c r="A22" s="81"/>
      <c r="B22" s="81"/>
      <c r="C22" s="81"/>
      <c r="D22" s="81"/>
      <c r="E22" s="81"/>
      <c r="F22" s="81"/>
      <c r="G22" s="81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</row>
    <row r="23" spans="1:26" ht="18.75" customHeight="1">
      <c r="A23" s="155"/>
      <c r="B23" s="155"/>
      <c r="C23" s="155"/>
      <c r="D23" s="155"/>
      <c r="E23" s="155"/>
      <c r="F23" s="155"/>
      <c r="G23" s="155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</row>
    <row r="24" spans="1:26" ht="18.75" customHeight="1">
      <c r="A24" s="157" t="s">
        <v>591</v>
      </c>
      <c r="B24" s="159" t="s">
        <v>639</v>
      </c>
      <c r="C24" s="161" t="s">
        <v>474</v>
      </c>
      <c r="D24" s="143"/>
      <c r="E24" s="144"/>
      <c r="F24" s="159" t="s">
        <v>7</v>
      </c>
      <c r="G24" s="162" t="s">
        <v>476</v>
      </c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</row>
    <row r="25" spans="1:26" ht="18.75" customHeight="1">
      <c r="A25" s="158"/>
      <c r="B25" s="160"/>
      <c r="C25" s="34">
        <v>0</v>
      </c>
      <c r="D25" s="34">
        <v>1</v>
      </c>
      <c r="E25" s="34">
        <v>2</v>
      </c>
      <c r="F25" s="160"/>
      <c r="G25" s="150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</row>
    <row r="26" spans="1:26" ht="18.75" customHeight="1">
      <c r="A26" s="15">
        <v>18</v>
      </c>
      <c r="B26" s="35" t="s">
        <v>640</v>
      </c>
      <c r="C26" s="35" t="s">
        <v>29</v>
      </c>
      <c r="D26" s="35" t="s">
        <v>594</v>
      </c>
      <c r="E26" s="35" t="s">
        <v>595</v>
      </c>
      <c r="F26" s="35"/>
      <c r="G26" s="6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</row>
    <row r="27" spans="1:26" ht="18.75" customHeight="1">
      <c r="A27" s="15">
        <v>19</v>
      </c>
      <c r="B27" s="35" t="s">
        <v>596</v>
      </c>
      <c r="C27" s="35" t="s">
        <v>597</v>
      </c>
      <c r="D27" s="35" t="s">
        <v>598</v>
      </c>
      <c r="E27" s="35" t="s">
        <v>599</v>
      </c>
      <c r="F27" s="35"/>
      <c r="G27" s="6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 spans="1:26" ht="18.75" customHeight="1">
      <c r="A28" s="15">
        <v>20</v>
      </c>
      <c r="B28" s="35" t="s">
        <v>641</v>
      </c>
      <c r="C28" s="35" t="s">
        <v>642</v>
      </c>
      <c r="D28" s="35" t="s">
        <v>643</v>
      </c>
      <c r="E28" s="35" t="s">
        <v>644</v>
      </c>
      <c r="F28" s="35"/>
      <c r="G28" s="6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 spans="1:26" ht="18.75" customHeight="1">
      <c r="A29" s="15">
        <v>21</v>
      </c>
      <c r="B29" s="35" t="s">
        <v>645</v>
      </c>
      <c r="C29" s="35" t="s">
        <v>646</v>
      </c>
      <c r="D29" s="35" t="s">
        <v>647</v>
      </c>
      <c r="E29" s="34"/>
      <c r="F29" s="35"/>
      <c r="G29" s="6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r="30" spans="1:26" ht="18.75" customHeight="1">
      <c r="A30" s="15">
        <v>22</v>
      </c>
      <c r="B30" s="35" t="s">
        <v>648</v>
      </c>
      <c r="C30" s="35" t="s">
        <v>649</v>
      </c>
      <c r="D30" s="35" t="s">
        <v>650</v>
      </c>
      <c r="E30" s="34"/>
      <c r="F30" s="35"/>
      <c r="G30" s="6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 spans="1:26" ht="18.75" customHeight="1">
      <c r="A31" s="15">
        <v>23</v>
      </c>
      <c r="B31" s="35" t="s">
        <v>651</v>
      </c>
      <c r="C31" s="35" t="s">
        <v>629</v>
      </c>
      <c r="D31" s="35" t="s">
        <v>652</v>
      </c>
      <c r="E31" s="35" t="s">
        <v>653</v>
      </c>
      <c r="F31" s="35"/>
      <c r="G31" s="6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r="32" spans="1:26" ht="18.75" customHeight="1">
      <c r="A32" s="15">
        <v>24</v>
      </c>
      <c r="B32" s="35" t="s">
        <v>654</v>
      </c>
      <c r="C32" s="35" t="s">
        <v>655</v>
      </c>
      <c r="D32" s="35" t="s">
        <v>656</v>
      </c>
      <c r="E32" s="35" t="s">
        <v>657</v>
      </c>
      <c r="F32" s="35"/>
      <c r="G32" s="6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</row>
    <row r="33" spans="1:26" ht="18.75" customHeight="1">
      <c r="A33" s="15">
        <v>25</v>
      </c>
      <c r="B33" s="35" t="s">
        <v>658</v>
      </c>
      <c r="C33" s="35" t="s">
        <v>659</v>
      </c>
      <c r="D33" s="35" t="s">
        <v>660</v>
      </c>
      <c r="E33" s="34"/>
      <c r="F33" s="35"/>
      <c r="G33" s="6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</row>
    <row r="34" spans="1:26" ht="18.75" customHeight="1">
      <c r="A34" s="15">
        <v>26</v>
      </c>
      <c r="B34" s="35" t="s">
        <v>661</v>
      </c>
      <c r="C34" s="35" t="s">
        <v>29</v>
      </c>
      <c r="D34" s="35" t="s">
        <v>662</v>
      </c>
      <c r="E34" s="35" t="s">
        <v>663</v>
      </c>
      <c r="F34" s="35"/>
      <c r="G34" s="6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</row>
    <row r="35" spans="1:26" ht="18.75" customHeight="1">
      <c r="A35" s="15">
        <v>27</v>
      </c>
      <c r="B35" s="35" t="s">
        <v>664</v>
      </c>
      <c r="C35" s="35" t="s">
        <v>607</v>
      </c>
      <c r="D35" s="35" t="s">
        <v>665</v>
      </c>
      <c r="E35" s="35" t="s">
        <v>637</v>
      </c>
      <c r="F35" s="35"/>
      <c r="G35" s="6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</row>
    <row r="36" spans="1:26" ht="18.75" customHeight="1">
      <c r="A36" s="15">
        <v>28</v>
      </c>
      <c r="B36" s="35" t="s">
        <v>632</v>
      </c>
      <c r="C36" s="35" t="s">
        <v>29</v>
      </c>
      <c r="D36" s="35" t="s">
        <v>633</v>
      </c>
      <c r="E36" s="35" t="s">
        <v>634</v>
      </c>
      <c r="F36" s="35"/>
      <c r="G36" s="6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</row>
    <row r="37" spans="1:26" ht="18.75" customHeight="1">
      <c r="A37" s="15">
        <v>29</v>
      </c>
      <c r="B37" s="35" t="s">
        <v>666</v>
      </c>
      <c r="C37" s="35" t="s">
        <v>667</v>
      </c>
      <c r="D37" s="35" t="s">
        <v>668</v>
      </c>
      <c r="E37" s="35" t="s">
        <v>669</v>
      </c>
      <c r="F37" s="35"/>
      <c r="G37" s="6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</row>
    <row r="38" spans="1:26" ht="18.75" customHeight="1">
      <c r="A38" s="125" t="s">
        <v>638</v>
      </c>
      <c r="B38" s="89"/>
      <c r="C38" s="89"/>
      <c r="D38" s="89"/>
      <c r="E38" s="89"/>
      <c r="F38" s="153"/>
      <c r="G38" s="36" t="str">
        <f>IF(COUNT(G26:G37)=0,"N/A",SUM((G26:G37))/(COUNT((G26:G37))*2))</f>
        <v>N/A</v>
      </c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</row>
    <row r="39" spans="1:26" ht="18.75" customHeight="1">
      <c r="A39" s="154"/>
      <c r="B39" s="112"/>
      <c r="C39" s="112"/>
      <c r="D39" s="112"/>
      <c r="E39" s="112"/>
      <c r="F39" s="112"/>
      <c r="G39" s="112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</row>
    <row r="40" spans="1:26" ht="18.75" customHeight="1">
      <c r="A40" s="81"/>
      <c r="B40" s="81"/>
      <c r="C40" s="81"/>
      <c r="D40" s="81"/>
      <c r="E40" s="81"/>
      <c r="F40" s="81"/>
      <c r="G40" s="81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</row>
    <row r="41" spans="1:26" ht="18.75" customHeight="1">
      <c r="A41" s="155"/>
      <c r="B41" s="155"/>
      <c r="C41" s="155"/>
      <c r="D41" s="155"/>
      <c r="E41" s="155"/>
      <c r="F41" s="155"/>
      <c r="G41" s="155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</row>
    <row r="42" spans="1:26" ht="18.75" customHeight="1">
      <c r="A42" s="157" t="s">
        <v>591</v>
      </c>
      <c r="B42" s="159" t="s">
        <v>670</v>
      </c>
      <c r="C42" s="161" t="s">
        <v>474</v>
      </c>
      <c r="D42" s="143"/>
      <c r="E42" s="144"/>
      <c r="F42" s="159" t="s">
        <v>7</v>
      </c>
      <c r="G42" s="162" t="s">
        <v>476</v>
      </c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</row>
    <row r="43" spans="1:26" ht="18.75" customHeight="1">
      <c r="A43" s="158"/>
      <c r="B43" s="160"/>
      <c r="C43" s="34">
        <v>0</v>
      </c>
      <c r="D43" s="34">
        <v>1</v>
      </c>
      <c r="E43" s="34">
        <v>2</v>
      </c>
      <c r="F43" s="160"/>
      <c r="G43" s="150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</row>
    <row r="44" spans="1:26" ht="18.75" customHeight="1">
      <c r="A44" s="15">
        <v>1</v>
      </c>
      <c r="B44" s="35" t="s">
        <v>671</v>
      </c>
      <c r="C44" s="35" t="s">
        <v>601</v>
      </c>
      <c r="D44" s="35" t="s">
        <v>672</v>
      </c>
      <c r="E44" s="35" t="s">
        <v>673</v>
      </c>
      <c r="F44" s="35"/>
      <c r="G44" s="6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</row>
    <row r="45" spans="1:26" ht="18.75" customHeight="1">
      <c r="A45" s="15">
        <v>2</v>
      </c>
      <c r="B45" s="35" t="s">
        <v>674</v>
      </c>
      <c r="C45" s="35" t="s">
        <v>597</v>
      </c>
      <c r="D45" s="35" t="s">
        <v>598</v>
      </c>
      <c r="E45" s="35" t="s">
        <v>599</v>
      </c>
      <c r="F45" s="35"/>
      <c r="G45" s="6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</row>
    <row r="46" spans="1:26" ht="18.75" customHeight="1">
      <c r="A46" s="15">
        <v>3</v>
      </c>
      <c r="B46" s="35" t="s">
        <v>675</v>
      </c>
      <c r="C46" s="35" t="s">
        <v>601</v>
      </c>
      <c r="D46" s="35" t="s">
        <v>676</v>
      </c>
      <c r="E46" s="34"/>
      <c r="F46" s="35"/>
      <c r="G46" s="6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</row>
    <row r="47" spans="1:26" ht="34.5" customHeight="1">
      <c r="A47" s="15">
        <v>4</v>
      </c>
      <c r="B47" s="35" t="s">
        <v>677</v>
      </c>
      <c r="C47" s="35" t="s">
        <v>29</v>
      </c>
      <c r="D47" s="35" t="s">
        <v>678</v>
      </c>
      <c r="E47" s="35" t="s">
        <v>679</v>
      </c>
      <c r="F47" s="35"/>
      <c r="G47" s="6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</row>
    <row r="48" spans="1:26" ht="18.75" customHeight="1">
      <c r="A48" s="15">
        <v>5</v>
      </c>
      <c r="B48" s="35" t="s">
        <v>680</v>
      </c>
      <c r="C48" s="35" t="s">
        <v>601</v>
      </c>
      <c r="D48" s="35" t="s">
        <v>681</v>
      </c>
      <c r="E48" s="35" t="s">
        <v>682</v>
      </c>
      <c r="F48" s="35"/>
      <c r="G48" s="6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</row>
    <row r="49" spans="1:26" ht="18.75" customHeight="1">
      <c r="A49" s="15">
        <v>6</v>
      </c>
      <c r="B49" s="35" t="s">
        <v>683</v>
      </c>
      <c r="C49" s="35" t="s">
        <v>601</v>
      </c>
      <c r="D49" s="35" t="s">
        <v>676</v>
      </c>
      <c r="E49" s="34"/>
      <c r="F49" s="35"/>
      <c r="G49" s="6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</row>
    <row r="50" spans="1:26" ht="18.75" customHeight="1">
      <c r="A50" s="15">
        <v>7</v>
      </c>
      <c r="B50" s="35" t="s">
        <v>684</v>
      </c>
      <c r="C50" s="35" t="s">
        <v>659</v>
      </c>
      <c r="D50" s="34"/>
      <c r="E50" s="35" t="s">
        <v>685</v>
      </c>
      <c r="F50" s="35"/>
      <c r="G50" s="6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</row>
    <row r="51" spans="1:26" ht="18.75" customHeight="1">
      <c r="A51" s="15">
        <v>8</v>
      </c>
      <c r="B51" s="35" t="s">
        <v>686</v>
      </c>
      <c r="C51" s="35" t="s">
        <v>687</v>
      </c>
      <c r="D51" s="35" t="s">
        <v>688</v>
      </c>
      <c r="E51" s="35" t="s">
        <v>689</v>
      </c>
      <c r="F51" s="35"/>
      <c r="G51" s="6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</row>
    <row r="52" spans="1:26" ht="18.75" customHeight="1">
      <c r="A52" s="15">
        <v>9</v>
      </c>
      <c r="B52" s="35" t="s">
        <v>690</v>
      </c>
      <c r="C52" s="35" t="s">
        <v>601</v>
      </c>
      <c r="D52" s="35" t="s">
        <v>681</v>
      </c>
      <c r="E52" s="35" t="s">
        <v>682</v>
      </c>
      <c r="F52" s="35"/>
      <c r="G52" s="6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</row>
    <row r="53" spans="1:26" ht="18.75" customHeight="1">
      <c r="A53" s="15">
        <v>10</v>
      </c>
      <c r="B53" s="35" t="s">
        <v>691</v>
      </c>
      <c r="C53" s="35" t="s">
        <v>601</v>
      </c>
      <c r="D53" s="35" t="s">
        <v>681</v>
      </c>
      <c r="E53" s="35" t="s">
        <v>682</v>
      </c>
      <c r="F53" s="35"/>
      <c r="G53" s="6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</row>
    <row r="54" spans="1:26" ht="18.75" customHeight="1">
      <c r="A54" s="15">
        <v>11</v>
      </c>
      <c r="B54" s="35" t="s">
        <v>692</v>
      </c>
      <c r="C54" s="35" t="s">
        <v>693</v>
      </c>
      <c r="D54" s="34"/>
      <c r="E54" s="35" t="s">
        <v>694</v>
      </c>
      <c r="F54" s="35"/>
      <c r="G54" s="6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</row>
    <row r="55" spans="1:26" ht="18.75" customHeight="1">
      <c r="A55" s="15">
        <v>12</v>
      </c>
      <c r="B55" s="35" t="s">
        <v>695</v>
      </c>
      <c r="C55" s="35" t="s">
        <v>601</v>
      </c>
      <c r="D55" s="35" t="s">
        <v>696</v>
      </c>
      <c r="E55" s="35" t="s">
        <v>637</v>
      </c>
      <c r="F55" s="35"/>
      <c r="G55" s="6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</row>
    <row r="56" spans="1:26" ht="18.75" customHeight="1">
      <c r="A56" s="15">
        <v>13</v>
      </c>
      <c r="B56" s="35" t="s">
        <v>697</v>
      </c>
      <c r="C56" s="35" t="s">
        <v>693</v>
      </c>
      <c r="D56" s="35" t="s">
        <v>694</v>
      </c>
      <c r="E56" s="34"/>
      <c r="F56" s="35"/>
      <c r="G56" s="6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</row>
    <row r="57" spans="1:26" ht="18.75" customHeight="1">
      <c r="A57" s="15">
        <v>14</v>
      </c>
      <c r="B57" s="35" t="s">
        <v>698</v>
      </c>
      <c r="C57" s="35" t="s">
        <v>693</v>
      </c>
      <c r="D57" s="35" t="s">
        <v>694</v>
      </c>
      <c r="E57" s="34"/>
      <c r="F57" s="35"/>
      <c r="G57" s="6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</row>
    <row r="58" spans="1:26" ht="18.75" customHeight="1">
      <c r="A58" s="15">
        <v>15</v>
      </c>
      <c r="B58" s="35" t="s">
        <v>699</v>
      </c>
      <c r="C58" s="35" t="s">
        <v>700</v>
      </c>
      <c r="D58" s="35" t="s">
        <v>701</v>
      </c>
      <c r="E58" s="35" t="s">
        <v>702</v>
      </c>
      <c r="F58" s="35"/>
      <c r="G58" s="6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</row>
    <row r="59" spans="1:26" ht="18.75" customHeight="1">
      <c r="A59" s="15">
        <v>16</v>
      </c>
      <c r="B59" s="35" t="s">
        <v>703</v>
      </c>
      <c r="C59" s="35" t="s">
        <v>700</v>
      </c>
      <c r="D59" s="35" t="s">
        <v>701</v>
      </c>
      <c r="E59" s="35" t="s">
        <v>702</v>
      </c>
      <c r="F59" s="35"/>
      <c r="G59" s="6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</row>
    <row r="60" spans="1:26" ht="18.75" customHeight="1">
      <c r="A60" s="15">
        <v>17</v>
      </c>
      <c r="B60" s="35" t="s">
        <v>704</v>
      </c>
      <c r="C60" s="35" t="s">
        <v>29</v>
      </c>
      <c r="D60" s="35" t="s">
        <v>633</v>
      </c>
      <c r="E60" s="35" t="s">
        <v>634</v>
      </c>
      <c r="F60" s="35"/>
      <c r="G60" s="6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</row>
    <row r="61" spans="1:26" ht="18.75" customHeight="1">
      <c r="A61" s="125" t="s">
        <v>638</v>
      </c>
      <c r="B61" s="89"/>
      <c r="C61" s="89"/>
      <c r="D61" s="89"/>
      <c r="E61" s="89"/>
      <c r="F61" s="153"/>
      <c r="G61" s="36" t="str">
        <f>IF(COUNT(G44:G60)=0,"N/A",SUM((G44:G60))/(COUNT((G44:G60))*2))</f>
        <v>N/A</v>
      </c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</row>
    <row r="62" spans="1:26" ht="18.75" customHeight="1">
      <c r="A62" s="37"/>
      <c r="B62" s="37"/>
      <c r="C62" s="37"/>
      <c r="D62" s="37"/>
      <c r="E62" s="37"/>
      <c r="F62" s="37"/>
      <c r="G62" s="37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</row>
    <row r="63" spans="1:26" ht="18.75" customHeight="1">
      <c r="A63" s="39"/>
      <c r="B63" s="39"/>
      <c r="C63" s="39"/>
      <c r="D63" s="39"/>
      <c r="E63" s="39"/>
      <c r="F63" s="39"/>
      <c r="G63" s="39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</row>
    <row r="64" spans="1:26" ht="18.75" customHeight="1">
      <c r="A64" s="40"/>
      <c r="B64" s="40"/>
      <c r="C64" s="40"/>
      <c r="D64" s="40"/>
      <c r="E64" s="40"/>
      <c r="F64" s="40"/>
      <c r="G64" s="40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</row>
    <row r="65" spans="1:26" ht="18.75" customHeight="1">
      <c r="A65" s="157" t="s">
        <v>591</v>
      </c>
      <c r="B65" s="159" t="s">
        <v>705</v>
      </c>
      <c r="C65" s="161" t="s">
        <v>474</v>
      </c>
      <c r="D65" s="143"/>
      <c r="E65" s="144"/>
      <c r="F65" s="159" t="s">
        <v>7</v>
      </c>
      <c r="G65" s="162" t="s">
        <v>476</v>
      </c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</row>
    <row r="66" spans="1:26" ht="18.75" customHeight="1">
      <c r="A66" s="158"/>
      <c r="B66" s="160"/>
      <c r="C66" s="34">
        <v>0</v>
      </c>
      <c r="D66" s="34">
        <v>1</v>
      </c>
      <c r="E66" s="34">
        <v>2</v>
      </c>
      <c r="F66" s="160"/>
      <c r="G66" s="150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</row>
    <row r="67" spans="1:26" ht="18.75" customHeight="1">
      <c r="A67" s="15">
        <v>1</v>
      </c>
      <c r="B67" s="35" t="s">
        <v>706</v>
      </c>
      <c r="C67" s="35" t="s">
        <v>629</v>
      </c>
      <c r="D67" s="35" t="s">
        <v>594</v>
      </c>
      <c r="E67" s="35" t="s">
        <v>595</v>
      </c>
      <c r="F67" s="35"/>
      <c r="G67" s="6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</row>
    <row r="68" spans="1:26" ht="18.75" customHeight="1">
      <c r="A68" s="15">
        <v>2</v>
      </c>
      <c r="B68" s="35" t="s">
        <v>707</v>
      </c>
      <c r="C68" s="35" t="s">
        <v>708</v>
      </c>
      <c r="D68" s="35" t="s">
        <v>709</v>
      </c>
      <c r="E68" s="35" t="s">
        <v>627</v>
      </c>
      <c r="F68" s="35"/>
      <c r="G68" s="6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</row>
    <row r="69" spans="1:26" ht="18.75" customHeight="1">
      <c r="A69" s="15">
        <v>3</v>
      </c>
      <c r="B69" s="35" t="s">
        <v>710</v>
      </c>
      <c r="C69" s="35" t="s">
        <v>700</v>
      </c>
      <c r="D69" s="35" t="s">
        <v>711</v>
      </c>
      <c r="E69" s="35" t="s">
        <v>712</v>
      </c>
      <c r="F69" s="35"/>
      <c r="G69" s="6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</row>
    <row r="70" spans="1:26" ht="18.75" customHeight="1">
      <c r="A70" s="15">
        <v>4</v>
      </c>
      <c r="B70" s="35" t="s">
        <v>674</v>
      </c>
      <c r="C70" s="35" t="s">
        <v>597</v>
      </c>
      <c r="D70" s="35" t="s">
        <v>598</v>
      </c>
      <c r="E70" s="35" t="s">
        <v>599</v>
      </c>
      <c r="F70" s="35"/>
      <c r="G70" s="6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</row>
    <row r="71" spans="1:26" ht="45" customHeight="1">
      <c r="A71" s="15">
        <v>5</v>
      </c>
      <c r="B71" s="35" t="s">
        <v>713</v>
      </c>
      <c r="C71" s="35" t="s">
        <v>659</v>
      </c>
      <c r="D71" s="34"/>
      <c r="E71" s="35" t="s">
        <v>685</v>
      </c>
      <c r="F71" s="35"/>
      <c r="G71" s="6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</row>
    <row r="72" spans="1:26" ht="43.5" customHeight="1">
      <c r="A72" s="15">
        <v>6</v>
      </c>
      <c r="B72" s="35" t="s">
        <v>714</v>
      </c>
      <c r="C72" s="35" t="s">
        <v>708</v>
      </c>
      <c r="D72" s="35" t="s">
        <v>709</v>
      </c>
      <c r="E72" s="35" t="s">
        <v>627</v>
      </c>
      <c r="F72" s="35"/>
      <c r="G72" s="6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</row>
    <row r="73" spans="1:26" ht="37.5" customHeight="1">
      <c r="A73" s="15">
        <v>7</v>
      </c>
      <c r="B73" s="35" t="s">
        <v>715</v>
      </c>
      <c r="C73" s="35" t="s">
        <v>659</v>
      </c>
      <c r="D73" s="35" t="s">
        <v>716</v>
      </c>
      <c r="E73" s="35" t="s">
        <v>717</v>
      </c>
      <c r="F73" s="35"/>
      <c r="G73" s="6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</row>
    <row r="74" spans="1:26" ht="39" customHeight="1">
      <c r="A74" s="15">
        <v>8</v>
      </c>
      <c r="B74" s="35" t="s">
        <v>718</v>
      </c>
      <c r="C74" s="35" t="s">
        <v>659</v>
      </c>
      <c r="D74" s="35" t="s">
        <v>716</v>
      </c>
      <c r="E74" s="35" t="s">
        <v>717</v>
      </c>
      <c r="F74" s="35"/>
      <c r="G74" s="6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</row>
    <row r="75" spans="1:26" ht="45" customHeight="1">
      <c r="A75" s="15">
        <v>9</v>
      </c>
      <c r="B75" s="35" t="s">
        <v>719</v>
      </c>
      <c r="C75" s="35" t="s">
        <v>720</v>
      </c>
      <c r="D75" s="34"/>
      <c r="E75" s="35" t="s">
        <v>721</v>
      </c>
      <c r="F75" s="35"/>
      <c r="G75" s="6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</row>
    <row r="76" spans="1:26" ht="18.75" customHeight="1">
      <c r="A76" s="125" t="s">
        <v>638</v>
      </c>
      <c r="B76" s="89"/>
      <c r="C76" s="89"/>
      <c r="D76" s="89"/>
      <c r="E76" s="89"/>
      <c r="F76" s="153"/>
      <c r="G76" s="36" t="str">
        <f>IF(COUNT(G67:G75)=0,"N/A",SUM((G67:G75))/(COUNT((G67:G75))*2))</f>
        <v>N/A</v>
      </c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</row>
    <row r="77" spans="1:26" ht="18.75" customHeight="1">
      <c r="A77" s="154"/>
      <c r="B77" s="112"/>
      <c r="C77" s="112"/>
      <c r="D77" s="112"/>
      <c r="E77" s="112"/>
      <c r="F77" s="112"/>
      <c r="G77" s="112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</row>
    <row r="78" spans="1:26" ht="18.75" customHeight="1">
      <c r="A78" s="81"/>
      <c r="B78" s="81"/>
      <c r="C78" s="81"/>
      <c r="D78" s="81"/>
      <c r="E78" s="81"/>
      <c r="F78" s="81"/>
      <c r="G78" s="81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</row>
    <row r="79" spans="1:26" ht="18.75" customHeight="1">
      <c r="A79" s="155"/>
      <c r="B79" s="155"/>
      <c r="C79" s="155"/>
      <c r="D79" s="155"/>
      <c r="E79" s="155"/>
      <c r="F79" s="155"/>
      <c r="G79" s="155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</row>
    <row r="80" spans="1:26" ht="18.75" customHeight="1">
      <c r="A80" s="157" t="s">
        <v>591</v>
      </c>
      <c r="B80" s="159" t="s">
        <v>722</v>
      </c>
      <c r="C80" s="161" t="s">
        <v>474</v>
      </c>
      <c r="D80" s="143"/>
      <c r="E80" s="144"/>
      <c r="F80" s="159" t="s">
        <v>7</v>
      </c>
      <c r="G80" s="162" t="s">
        <v>476</v>
      </c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</row>
    <row r="81" spans="1:26" ht="18.75" customHeight="1">
      <c r="A81" s="158"/>
      <c r="B81" s="160"/>
      <c r="C81" s="34">
        <v>0</v>
      </c>
      <c r="D81" s="34">
        <v>1</v>
      </c>
      <c r="E81" s="34">
        <v>2</v>
      </c>
      <c r="F81" s="160"/>
      <c r="G81" s="150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</row>
    <row r="82" spans="1:26" ht="38.25" customHeight="1">
      <c r="A82" s="15">
        <v>1</v>
      </c>
      <c r="B82" s="35" t="s">
        <v>723</v>
      </c>
      <c r="C82" s="35" t="s">
        <v>601</v>
      </c>
      <c r="D82" s="35" t="s">
        <v>672</v>
      </c>
      <c r="E82" s="35" t="s">
        <v>673</v>
      </c>
      <c r="F82" s="35"/>
      <c r="G82" s="6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</row>
    <row r="83" spans="1:26" ht="18.75" customHeight="1">
      <c r="A83" s="15">
        <v>2</v>
      </c>
      <c r="B83" s="35" t="s">
        <v>596</v>
      </c>
      <c r="C83" s="35" t="s">
        <v>597</v>
      </c>
      <c r="D83" s="35" t="s">
        <v>598</v>
      </c>
      <c r="E83" s="35" t="s">
        <v>599</v>
      </c>
      <c r="F83" s="35"/>
      <c r="G83" s="6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</row>
    <row r="84" spans="1:26" ht="18.75" customHeight="1">
      <c r="A84" s="15">
        <v>3</v>
      </c>
      <c r="B84" s="35" t="s">
        <v>724</v>
      </c>
      <c r="C84" s="35" t="s">
        <v>601</v>
      </c>
      <c r="D84" s="35" t="s">
        <v>725</v>
      </c>
      <c r="E84" s="35" t="s">
        <v>676</v>
      </c>
      <c r="F84" s="35"/>
      <c r="G84" s="6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</row>
    <row r="85" spans="1:26" ht="18.75" customHeight="1">
      <c r="A85" s="15">
        <v>4</v>
      </c>
      <c r="B85" s="35" t="s">
        <v>726</v>
      </c>
      <c r="C85" s="35" t="s">
        <v>720</v>
      </c>
      <c r="D85" s="35" t="s">
        <v>721</v>
      </c>
      <c r="E85" s="34"/>
      <c r="F85" s="35"/>
      <c r="G85" s="6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</row>
    <row r="86" spans="1:26" ht="18.75" customHeight="1">
      <c r="A86" s="15">
        <v>5</v>
      </c>
      <c r="B86" s="35" t="s">
        <v>727</v>
      </c>
      <c r="C86" s="35" t="s">
        <v>601</v>
      </c>
      <c r="D86" s="35" t="s">
        <v>728</v>
      </c>
      <c r="E86" s="34"/>
      <c r="F86" s="35"/>
      <c r="G86" s="6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</row>
    <row r="87" spans="1:26" ht="18.75" customHeight="1">
      <c r="A87" s="15">
        <v>6</v>
      </c>
      <c r="B87" s="35" t="s">
        <v>729</v>
      </c>
      <c r="C87" s="35" t="s">
        <v>601</v>
      </c>
      <c r="D87" s="35" t="s">
        <v>728</v>
      </c>
      <c r="E87" s="34"/>
      <c r="F87" s="35"/>
      <c r="G87" s="6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</row>
    <row r="88" spans="1:26" ht="18.75" customHeight="1">
      <c r="A88" s="15">
        <v>7</v>
      </c>
      <c r="B88" s="35" t="s">
        <v>730</v>
      </c>
      <c r="C88" s="35" t="s">
        <v>601</v>
      </c>
      <c r="D88" s="35" t="s">
        <v>728</v>
      </c>
      <c r="E88" s="34"/>
      <c r="F88" s="35"/>
      <c r="G88" s="6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</row>
    <row r="89" spans="1:26" ht="18.75" customHeight="1">
      <c r="A89" s="15">
        <v>8</v>
      </c>
      <c r="B89" s="35" t="s">
        <v>731</v>
      </c>
      <c r="C89" s="35" t="s">
        <v>601</v>
      </c>
      <c r="D89" s="35" t="s">
        <v>725</v>
      </c>
      <c r="E89" s="35" t="s">
        <v>676</v>
      </c>
      <c r="F89" s="35"/>
      <c r="G89" s="6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</row>
    <row r="90" spans="1:26" ht="18.75" customHeight="1">
      <c r="A90" s="15">
        <v>9</v>
      </c>
      <c r="B90" s="35" t="s">
        <v>732</v>
      </c>
      <c r="C90" s="35" t="s">
        <v>708</v>
      </c>
      <c r="D90" s="35" t="s">
        <v>709</v>
      </c>
      <c r="E90" s="35" t="s">
        <v>627</v>
      </c>
      <c r="F90" s="35"/>
      <c r="G90" s="6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</row>
    <row r="91" spans="1:26" ht="18.75" customHeight="1">
      <c r="A91" s="15">
        <v>10</v>
      </c>
      <c r="B91" s="35" t="s">
        <v>733</v>
      </c>
      <c r="C91" s="35" t="s">
        <v>601</v>
      </c>
      <c r="D91" s="35" t="s">
        <v>728</v>
      </c>
      <c r="E91" s="34"/>
      <c r="F91" s="35"/>
      <c r="G91" s="6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</row>
    <row r="92" spans="1:26" ht="18.75" customHeight="1">
      <c r="A92" s="15">
        <v>11</v>
      </c>
      <c r="B92" s="35" t="s">
        <v>690</v>
      </c>
      <c r="C92" s="35" t="s">
        <v>601</v>
      </c>
      <c r="D92" s="35" t="s">
        <v>681</v>
      </c>
      <c r="E92" s="35" t="s">
        <v>682</v>
      </c>
      <c r="F92" s="35"/>
      <c r="G92" s="6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</row>
    <row r="93" spans="1:26" ht="18.75" customHeight="1">
      <c r="A93" s="15">
        <v>12</v>
      </c>
      <c r="B93" s="35" t="s">
        <v>734</v>
      </c>
      <c r="C93" s="35" t="s">
        <v>685</v>
      </c>
      <c r="D93" s="34"/>
      <c r="E93" s="35" t="s">
        <v>659</v>
      </c>
      <c r="F93" s="35"/>
      <c r="G93" s="6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</row>
    <row r="94" spans="1:26" ht="18.75" customHeight="1">
      <c r="A94" s="15">
        <v>13</v>
      </c>
      <c r="B94" s="35" t="s">
        <v>735</v>
      </c>
      <c r="C94" s="35" t="s">
        <v>659</v>
      </c>
      <c r="D94" s="35" t="s">
        <v>736</v>
      </c>
      <c r="E94" s="35" t="s">
        <v>717</v>
      </c>
      <c r="F94" s="35"/>
      <c r="G94" s="6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</row>
    <row r="95" spans="1:26" ht="18.75" customHeight="1">
      <c r="A95" s="15">
        <v>14</v>
      </c>
      <c r="B95" s="35" t="s">
        <v>737</v>
      </c>
      <c r="C95" s="35" t="s">
        <v>659</v>
      </c>
      <c r="D95" s="35" t="s">
        <v>716</v>
      </c>
      <c r="E95" s="35" t="s">
        <v>717</v>
      </c>
      <c r="F95" s="35"/>
      <c r="G95" s="6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</row>
    <row r="96" spans="1:26" ht="18.75" customHeight="1">
      <c r="A96" s="125" t="s">
        <v>638</v>
      </c>
      <c r="B96" s="89"/>
      <c r="C96" s="89"/>
      <c r="D96" s="89"/>
      <c r="E96" s="89"/>
      <c r="F96" s="153"/>
      <c r="G96" s="36" t="str">
        <f>IF(COUNT(G82:G95)=0,"N/A",SUM((G82:G95))/(COUNT((G82:G95))*2))</f>
        <v>N/A</v>
      </c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</row>
    <row r="97" spans="1:26" ht="18.75" customHeight="1">
      <c r="A97" s="154"/>
      <c r="B97" s="112"/>
      <c r="C97" s="112"/>
      <c r="D97" s="112"/>
      <c r="E97" s="112"/>
      <c r="F97" s="112"/>
      <c r="G97" s="112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</row>
    <row r="98" spans="1:26" ht="18.75" customHeight="1">
      <c r="A98" s="81"/>
      <c r="B98" s="81"/>
      <c r="C98" s="81"/>
      <c r="D98" s="81"/>
      <c r="E98" s="81"/>
      <c r="F98" s="81"/>
      <c r="G98" s="81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</row>
    <row r="99" spans="1:26" ht="18.75" customHeight="1">
      <c r="A99" s="155"/>
      <c r="B99" s="155"/>
      <c r="C99" s="155"/>
      <c r="D99" s="155"/>
      <c r="E99" s="155"/>
      <c r="F99" s="155"/>
      <c r="G99" s="155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</row>
    <row r="100" spans="1:26" ht="18.75" customHeight="1">
      <c r="A100" s="157" t="s">
        <v>591</v>
      </c>
      <c r="B100" s="159" t="s">
        <v>738</v>
      </c>
      <c r="C100" s="161" t="s">
        <v>474</v>
      </c>
      <c r="D100" s="143"/>
      <c r="E100" s="144"/>
      <c r="F100" s="159" t="s">
        <v>7</v>
      </c>
      <c r="G100" s="162" t="s">
        <v>476</v>
      </c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</row>
    <row r="101" spans="1:26" ht="18.75" customHeight="1">
      <c r="A101" s="158"/>
      <c r="B101" s="160"/>
      <c r="C101" s="34">
        <v>0</v>
      </c>
      <c r="D101" s="34">
        <v>1</v>
      </c>
      <c r="E101" s="34">
        <v>2</v>
      </c>
      <c r="F101" s="160"/>
      <c r="G101" s="150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</row>
    <row r="102" spans="1:26" ht="18.75" customHeight="1">
      <c r="A102" s="15">
        <v>1</v>
      </c>
      <c r="B102" s="35" t="s">
        <v>739</v>
      </c>
      <c r="C102" s="35" t="s">
        <v>601</v>
      </c>
      <c r="D102" s="35" t="s">
        <v>740</v>
      </c>
      <c r="E102" s="34"/>
      <c r="F102" s="35"/>
      <c r="G102" s="6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</row>
    <row r="103" spans="1:26" ht="18.75" customHeight="1">
      <c r="A103" s="15">
        <v>2</v>
      </c>
      <c r="B103" s="35" t="s">
        <v>741</v>
      </c>
      <c r="C103" s="35" t="s">
        <v>601</v>
      </c>
      <c r="D103" s="35" t="s">
        <v>740</v>
      </c>
      <c r="E103" s="34"/>
      <c r="F103" s="35"/>
      <c r="G103" s="6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</row>
    <row r="104" spans="1:26" ht="18.75" customHeight="1">
      <c r="A104" s="15">
        <v>3</v>
      </c>
      <c r="B104" s="35" t="s">
        <v>742</v>
      </c>
      <c r="C104" s="35" t="s">
        <v>601</v>
      </c>
      <c r="D104" s="35" t="s">
        <v>740</v>
      </c>
      <c r="E104" s="34"/>
      <c r="F104" s="35"/>
      <c r="G104" s="6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</row>
    <row r="105" spans="1:26" ht="18.75" customHeight="1">
      <c r="A105" s="15">
        <v>4</v>
      </c>
      <c r="B105" s="35" t="s">
        <v>743</v>
      </c>
      <c r="C105" s="35" t="s">
        <v>601</v>
      </c>
      <c r="D105" s="35" t="s">
        <v>740</v>
      </c>
      <c r="E105" s="34"/>
      <c r="F105" s="35"/>
      <c r="G105" s="6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</row>
    <row r="106" spans="1:26" ht="18.75" customHeight="1">
      <c r="A106" s="15">
        <v>5</v>
      </c>
      <c r="B106" s="35" t="s">
        <v>744</v>
      </c>
      <c r="C106" s="35" t="s">
        <v>659</v>
      </c>
      <c r="D106" s="35" t="s">
        <v>716</v>
      </c>
      <c r="E106" s="35" t="s">
        <v>717</v>
      </c>
      <c r="F106" s="35"/>
      <c r="G106" s="6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</row>
    <row r="107" spans="1:26" ht="18.75" customHeight="1">
      <c r="A107" s="15">
        <v>6</v>
      </c>
      <c r="B107" s="35" t="s">
        <v>745</v>
      </c>
      <c r="C107" s="35" t="s">
        <v>601</v>
      </c>
      <c r="D107" s="35" t="s">
        <v>740</v>
      </c>
      <c r="E107" s="34"/>
      <c r="F107" s="35"/>
      <c r="G107" s="6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</row>
    <row r="108" spans="1:26" ht="18.75" customHeight="1">
      <c r="A108" s="15">
        <v>7</v>
      </c>
      <c r="B108" s="35" t="s">
        <v>746</v>
      </c>
      <c r="C108" s="35" t="s">
        <v>659</v>
      </c>
      <c r="D108" s="34"/>
      <c r="E108" s="35" t="s">
        <v>685</v>
      </c>
      <c r="F108" s="35"/>
      <c r="G108" s="6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</row>
    <row r="109" spans="1:26" ht="18.75" customHeight="1">
      <c r="A109" s="15">
        <v>8</v>
      </c>
      <c r="B109" s="35" t="s">
        <v>747</v>
      </c>
      <c r="C109" s="35" t="s">
        <v>659</v>
      </c>
      <c r="D109" s="34"/>
      <c r="E109" s="35" t="s">
        <v>685</v>
      </c>
      <c r="F109" s="35"/>
      <c r="G109" s="6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</row>
    <row r="110" spans="1:26" ht="18.75" customHeight="1">
      <c r="A110" s="15">
        <v>9</v>
      </c>
      <c r="B110" s="35" t="s">
        <v>748</v>
      </c>
      <c r="C110" s="35" t="s">
        <v>601</v>
      </c>
      <c r="D110" s="35" t="s">
        <v>740</v>
      </c>
      <c r="E110" s="34"/>
      <c r="F110" s="35"/>
      <c r="G110" s="6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</row>
    <row r="111" spans="1:26" ht="18.75" customHeight="1">
      <c r="A111" s="15">
        <v>10</v>
      </c>
      <c r="B111" s="35" t="s">
        <v>749</v>
      </c>
      <c r="C111" s="35" t="s">
        <v>659</v>
      </c>
      <c r="D111" s="34"/>
      <c r="E111" s="35" t="s">
        <v>685</v>
      </c>
      <c r="F111" s="35"/>
      <c r="G111" s="6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</row>
    <row r="112" spans="1:26" ht="18.75" customHeight="1">
      <c r="A112" s="125" t="s">
        <v>750</v>
      </c>
      <c r="B112" s="89"/>
      <c r="C112" s="89"/>
      <c r="D112" s="89"/>
      <c r="E112" s="89"/>
      <c r="F112" s="153"/>
      <c r="G112" s="36" t="str">
        <f>IF(COUNT(G102:G111)=0,"N/A",SUM((G102:G111))/(COUNT((G102:G111))*2))</f>
        <v>N/A</v>
      </c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</row>
    <row r="113" spans="1:26" ht="18.75" customHeight="1">
      <c r="A113" s="154"/>
      <c r="B113" s="112"/>
      <c r="C113" s="112"/>
      <c r="D113" s="112"/>
      <c r="E113" s="112"/>
      <c r="F113" s="112"/>
      <c r="G113" s="112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</row>
    <row r="114" spans="1:26" ht="18.75" customHeight="1">
      <c r="A114" s="81"/>
      <c r="B114" s="81"/>
      <c r="C114" s="81"/>
      <c r="D114" s="81"/>
      <c r="E114" s="81"/>
      <c r="F114" s="81"/>
      <c r="G114" s="81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</row>
    <row r="115" spans="1:26" ht="18.75" customHeight="1">
      <c r="A115" s="155"/>
      <c r="B115" s="155"/>
      <c r="C115" s="155"/>
      <c r="D115" s="155"/>
      <c r="E115" s="155"/>
      <c r="F115" s="155"/>
      <c r="G115" s="155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</row>
    <row r="116" spans="1:26" ht="18.75" customHeight="1">
      <c r="A116" s="157" t="s">
        <v>591</v>
      </c>
      <c r="B116" s="159" t="s">
        <v>751</v>
      </c>
      <c r="C116" s="161" t="s">
        <v>474</v>
      </c>
      <c r="D116" s="143"/>
      <c r="E116" s="144"/>
      <c r="F116" s="159" t="s">
        <v>7</v>
      </c>
      <c r="G116" s="162" t="s">
        <v>476</v>
      </c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</row>
    <row r="117" spans="1:26" ht="18.75" customHeight="1">
      <c r="A117" s="158"/>
      <c r="B117" s="160"/>
      <c r="C117" s="34">
        <v>0</v>
      </c>
      <c r="D117" s="34">
        <v>1</v>
      </c>
      <c r="E117" s="34">
        <v>2</v>
      </c>
      <c r="F117" s="160"/>
      <c r="G117" s="150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</row>
    <row r="118" spans="1:26" ht="18.75" customHeight="1">
      <c r="A118" s="15">
        <v>1</v>
      </c>
      <c r="B118" s="35" t="s">
        <v>752</v>
      </c>
      <c r="C118" s="35" t="s">
        <v>601</v>
      </c>
      <c r="D118" s="35"/>
      <c r="E118" s="35" t="s">
        <v>740</v>
      </c>
      <c r="F118" s="35"/>
      <c r="G118" s="6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</row>
    <row r="119" spans="1:26" ht="18.75" customHeight="1">
      <c r="A119" s="15">
        <v>2</v>
      </c>
      <c r="B119" s="35" t="s">
        <v>753</v>
      </c>
      <c r="C119" s="35" t="s">
        <v>601</v>
      </c>
      <c r="D119" s="35"/>
      <c r="E119" s="35" t="s">
        <v>740</v>
      </c>
      <c r="F119" s="35"/>
      <c r="G119" s="6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</row>
    <row r="120" spans="1:26" ht="18.75" customHeight="1">
      <c r="A120" s="15">
        <v>3</v>
      </c>
      <c r="B120" s="35" t="s">
        <v>754</v>
      </c>
      <c r="C120" s="35" t="s">
        <v>601</v>
      </c>
      <c r="D120" s="35"/>
      <c r="E120" s="35" t="s">
        <v>740</v>
      </c>
      <c r="F120" s="35"/>
      <c r="G120" s="6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</row>
    <row r="121" spans="1:26" ht="18.75" customHeight="1">
      <c r="A121" s="15">
        <v>4</v>
      </c>
      <c r="B121" s="35" t="s">
        <v>755</v>
      </c>
      <c r="C121" s="35" t="s">
        <v>659</v>
      </c>
      <c r="D121" s="35"/>
      <c r="E121" s="35" t="s">
        <v>756</v>
      </c>
      <c r="F121" s="35"/>
      <c r="G121" s="6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</row>
    <row r="122" spans="1:26" ht="18.75" customHeight="1">
      <c r="A122" s="15">
        <v>5</v>
      </c>
      <c r="B122" s="35" t="s">
        <v>757</v>
      </c>
      <c r="C122" s="35" t="s">
        <v>601</v>
      </c>
      <c r="D122" s="35"/>
      <c r="E122" s="35" t="s">
        <v>740</v>
      </c>
      <c r="F122" s="35"/>
      <c r="G122" s="6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</row>
    <row r="123" spans="1:26" ht="18.75" customHeight="1">
      <c r="A123" s="15">
        <v>6</v>
      </c>
      <c r="B123" s="35" t="s">
        <v>758</v>
      </c>
      <c r="C123" s="35" t="s">
        <v>601</v>
      </c>
      <c r="D123" s="35"/>
      <c r="E123" s="35" t="s">
        <v>740</v>
      </c>
      <c r="F123" s="35"/>
      <c r="G123" s="6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</row>
    <row r="124" spans="1:26" ht="18.75" customHeight="1">
      <c r="A124" s="15">
        <v>7</v>
      </c>
      <c r="B124" s="35" t="s">
        <v>741</v>
      </c>
      <c r="C124" s="35" t="s">
        <v>601</v>
      </c>
      <c r="D124" s="35"/>
      <c r="E124" s="35" t="s">
        <v>740</v>
      </c>
      <c r="F124" s="35"/>
      <c r="G124" s="6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</row>
    <row r="125" spans="1:26" ht="18.75" customHeight="1">
      <c r="A125" s="15">
        <v>8</v>
      </c>
      <c r="B125" s="35" t="s">
        <v>759</v>
      </c>
      <c r="C125" s="35" t="s">
        <v>601</v>
      </c>
      <c r="D125" s="35"/>
      <c r="E125" s="35" t="s">
        <v>740</v>
      </c>
      <c r="F125" s="35"/>
      <c r="G125" s="6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</row>
    <row r="126" spans="1:26" ht="18.75" customHeight="1">
      <c r="A126" s="125" t="s">
        <v>760</v>
      </c>
      <c r="B126" s="89"/>
      <c r="C126" s="89"/>
      <c r="D126" s="89"/>
      <c r="E126" s="89"/>
      <c r="F126" s="153"/>
      <c r="G126" s="36" t="str">
        <f>IF(COUNT(G118:G125)=0,"N/A",SUM((G118:G125))/(COUNT((G118:G125))*2))</f>
        <v>N/A</v>
      </c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</row>
    <row r="127" spans="1:26" ht="18.75" customHeight="1">
      <c r="A127" s="154"/>
      <c r="B127" s="112"/>
      <c r="C127" s="112"/>
      <c r="D127" s="112"/>
      <c r="E127" s="112"/>
      <c r="F127" s="112"/>
      <c r="G127" s="112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</row>
    <row r="128" spans="1:26" ht="18.75" customHeight="1">
      <c r="A128" s="81"/>
      <c r="B128" s="81"/>
      <c r="C128" s="81"/>
      <c r="D128" s="81"/>
      <c r="E128" s="81"/>
      <c r="F128" s="81"/>
      <c r="G128" s="81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</row>
    <row r="129" spans="1:26" ht="18.75" customHeight="1">
      <c r="A129" s="155"/>
      <c r="B129" s="155"/>
      <c r="C129" s="155"/>
      <c r="D129" s="155"/>
      <c r="E129" s="155"/>
      <c r="F129" s="155"/>
      <c r="G129" s="155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</row>
    <row r="130" spans="1:26" ht="18.75" customHeight="1">
      <c r="A130" s="157" t="s">
        <v>591</v>
      </c>
      <c r="B130" s="159" t="s">
        <v>761</v>
      </c>
      <c r="C130" s="161" t="s">
        <v>474</v>
      </c>
      <c r="D130" s="143"/>
      <c r="E130" s="144"/>
      <c r="F130" s="159" t="s">
        <v>7</v>
      </c>
      <c r="G130" s="162" t="s">
        <v>476</v>
      </c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</row>
    <row r="131" spans="1:26" ht="18.75" customHeight="1">
      <c r="A131" s="158"/>
      <c r="B131" s="160"/>
      <c r="C131" s="34">
        <v>0</v>
      </c>
      <c r="D131" s="34">
        <v>1</v>
      </c>
      <c r="E131" s="34">
        <v>2</v>
      </c>
      <c r="F131" s="160"/>
      <c r="G131" s="150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</row>
    <row r="132" spans="1:26" ht="18.75" customHeight="1">
      <c r="A132" s="15">
        <v>1</v>
      </c>
      <c r="B132" s="35" t="s">
        <v>762</v>
      </c>
      <c r="C132" s="35" t="s">
        <v>29</v>
      </c>
      <c r="D132" s="35" t="s">
        <v>594</v>
      </c>
      <c r="E132" s="35" t="s">
        <v>595</v>
      </c>
      <c r="F132" s="35"/>
      <c r="G132" s="6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</row>
    <row r="133" spans="1:26" ht="18.75" customHeight="1">
      <c r="A133" s="15">
        <v>2</v>
      </c>
      <c r="B133" s="35" t="s">
        <v>596</v>
      </c>
      <c r="C133" s="35" t="s">
        <v>597</v>
      </c>
      <c r="D133" s="35" t="s">
        <v>598</v>
      </c>
      <c r="E133" s="35" t="s">
        <v>599</v>
      </c>
      <c r="F133" s="35"/>
      <c r="G133" s="6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</row>
    <row r="134" spans="1:26" ht="18.75" customHeight="1">
      <c r="A134" s="15">
        <v>3</v>
      </c>
      <c r="B134" s="35" t="s">
        <v>600</v>
      </c>
      <c r="C134" s="35" t="s">
        <v>601</v>
      </c>
      <c r="D134" s="35" t="s">
        <v>602</v>
      </c>
      <c r="E134" s="35" t="s">
        <v>603</v>
      </c>
      <c r="F134" s="35"/>
      <c r="G134" s="6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</row>
    <row r="135" spans="1:26" ht="18.75" customHeight="1">
      <c r="A135" s="15">
        <v>4</v>
      </c>
      <c r="B135" s="35" t="s">
        <v>763</v>
      </c>
      <c r="C135" s="35" t="s">
        <v>601</v>
      </c>
      <c r="D135" s="35" t="s">
        <v>602</v>
      </c>
      <c r="E135" s="35" t="s">
        <v>603</v>
      </c>
      <c r="F135" s="35"/>
      <c r="G135" s="6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</row>
    <row r="136" spans="1:26" ht="18.75" customHeight="1">
      <c r="A136" s="15">
        <v>5</v>
      </c>
      <c r="B136" s="35" t="s">
        <v>764</v>
      </c>
      <c r="C136" s="35" t="s">
        <v>29</v>
      </c>
      <c r="D136" s="35" t="s">
        <v>594</v>
      </c>
      <c r="E136" s="35" t="s">
        <v>595</v>
      </c>
      <c r="F136" s="35"/>
      <c r="G136" s="6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</row>
    <row r="137" spans="1:26" ht="18.75" customHeight="1">
      <c r="A137" s="15">
        <v>6</v>
      </c>
      <c r="B137" s="35" t="s">
        <v>765</v>
      </c>
      <c r="C137" s="35" t="s">
        <v>29</v>
      </c>
      <c r="D137" s="35" t="s">
        <v>594</v>
      </c>
      <c r="E137" s="35" t="s">
        <v>595</v>
      </c>
      <c r="F137" s="35"/>
      <c r="G137" s="6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</row>
    <row r="138" spans="1:26" ht="18.75" customHeight="1">
      <c r="A138" s="15">
        <v>7</v>
      </c>
      <c r="B138" s="35" t="s">
        <v>766</v>
      </c>
      <c r="C138" s="35" t="s">
        <v>29</v>
      </c>
      <c r="D138" s="35" t="s">
        <v>594</v>
      </c>
      <c r="E138" s="35" t="s">
        <v>595</v>
      </c>
      <c r="F138" s="35"/>
      <c r="G138" s="6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</row>
    <row r="139" spans="1:26" ht="18.75" customHeight="1">
      <c r="A139" s="15">
        <v>8</v>
      </c>
      <c r="B139" s="35" t="s">
        <v>767</v>
      </c>
      <c r="C139" s="41"/>
      <c r="D139" s="35" t="s">
        <v>768</v>
      </c>
      <c r="E139" s="35" t="s">
        <v>769</v>
      </c>
      <c r="F139" s="35"/>
      <c r="G139" s="6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</row>
    <row r="140" spans="1:26" ht="18.75" customHeight="1">
      <c r="A140" s="15">
        <v>9</v>
      </c>
      <c r="B140" s="35" t="s">
        <v>770</v>
      </c>
      <c r="C140" s="35" t="s">
        <v>601</v>
      </c>
      <c r="D140" s="35" t="s">
        <v>771</v>
      </c>
      <c r="E140" s="35" t="s">
        <v>772</v>
      </c>
      <c r="F140" s="35"/>
      <c r="G140" s="6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</row>
    <row r="141" spans="1:26" ht="18.75" customHeight="1">
      <c r="A141" s="15">
        <v>10</v>
      </c>
      <c r="B141" s="35" t="s">
        <v>773</v>
      </c>
      <c r="C141" s="35" t="s">
        <v>601</v>
      </c>
      <c r="D141" s="35" t="s">
        <v>618</v>
      </c>
      <c r="E141" s="35" t="s">
        <v>619</v>
      </c>
      <c r="F141" s="35"/>
      <c r="G141" s="6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</row>
    <row r="142" spans="1:26" ht="18.75" customHeight="1">
      <c r="A142" s="15">
        <v>11</v>
      </c>
      <c r="B142" s="35" t="s">
        <v>774</v>
      </c>
      <c r="C142" s="35" t="s">
        <v>601</v>
      </c>
      <c r="D142" s="35" t="s">
        <v>618</v>
      </c>
      <c r="E142" s="35" t="s">
        <v>619</v>
      </c>
      <c r="F142" s="35"/>
      <c r="G142" s="6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</row>
    <row r="143" spans="1:26" ht="18.75" customHeight="1">
      <c r="A143" s="15">
        <v>12</v>
      </c>
      <c r="B143" s="35" t="s">
        <v>775</v>
      </c>
      <c r="C143" s="35" t="s">
        <v>601</v>
      </c>
      <c r="D143" s="35" t="s">
        <v>618</v>
      </c>
      <c r="E143" s="35" t="s">
        <v>619</v>
      </c>
      <c r="F143" s="35"/>
      <c r="G143" s="6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</row>
    <row r="144" spans="1:26" ht="18.75" customHeight="1">
      <c r="A144" s="15">
        <v>13</v>
      </c>
      <c r="B144" s="35" t="s">
        <v>776</v>
      </c>
      <c r="C144" s="35" t="s">
        <v>601</v>
      </c>
      <c r="D144" s="35" t="s">
        <v>618</v>
      </c>
      <c r="E144" s="35" t="s">
        <v>619</v>
      </c>
      <c r="F144" s="35"/>
      <c r="G144" s="6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</row>
    <row r="145" spans="1:26" ht="18.75" customHeight="1">
      <c r="A145" s="15">
        <v>14</v>
      </c>
      <c r="B145" s="35" t="s">
        <v>777</v>
      </c>
      <c r="C145" s="35" t="s">
        <v>601</v>
      </c>
      <c r="D145" s="35" t="s">
        <v>618</v>
      </c>
      <c r="E145" s="35" t="s">
        <v>619</v>
      </c>
      <c r="F145" s="35"/>
      <c r="G145" s="6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</row>
    <row r="146" spans="1:26" ht="18.75" customHeight="1">
      <c r="A146" s="125" t="s">
        <v>778</v>
      </c>
      <c r="B146" s="89"/>
      <c r="C146" s="89"/>
      <c r="D146" s="89"/>
      <c r="E146" s="89"/>
      <c r="F146" s="153"/>
      <c r="G146" s="36" t="str">
        <f>IF(COUNT(G132:G145)=0,"N/A",SUM((G132:G145))/(COUNT((G132:G145))*2))</f>
        <v>N/A</v>
      </c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</row>
    <row r="147" spans="1:26" ht="18.75" customHeight="1">
      <c r="A147" s="39"/>
      <c r="B147" s="39"/>
      <c r="C147" s="39"/>
      <c r="D147" s="39"/>
      <c r="E147" s="39"/>
      <c r="F147" s="39"/>
      <c r="G147" s="42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</row>
    <row r="148" spans="1:26" ht="18" customHeight="1">
      <c r="A148" s="166" t="s">
        <v>779</v>
      </c>
      <c r="B148" s="112"/>
      <c r="C148" s="112"/>
      <c r="D148" s="112"/>
      <c r="E148" s="112"/>
      <c r="F148" s="112"/>
      <c r="G148" s="167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</row>
    <row r="149" spans="1:26" ht="18" customHeight="1">
      <c r="A149" s="168"/>
      <c r="B149" s="81"/>
      <c r="C149" s="81"/>
      <c r="D149" s="81"/>
      <c r="E149" s="81"/>
      <c r="F149" s="81"/>
      <c r="G149" s="169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</row>
    <row r="150" spans="1:26" ht="18" customHeight="1">
      <c r="A150" s="170"/>
      <c r="B150" s="171"/>
      <c r="C150" s="171"/>
      <c r="D150" s="171"/>
      <c r="E150" s="171"/>
      <c r="F150" s="171"/>
      <c r="G150" s="172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</row>
    <row r="151" spans="1:26" ht="18.75" customHeight="1">
      <c r="A151" s="43" t="s">
        <v>780</v>
      </c>
      <c r="B151" s="44" t="s">
        <v>781</v>
      </c>
      <c r="C151" s="156" t="s">
        <v>7</v>
      </c>
      <c r="D151" s="83"/>
      <c r="E151" s="83"/>
      <c r="F151" s="84"/>
      <c r="G151" s="45" t="s">
        <v>476</v>
      </c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</row>
    <row r="152" spans="1:26" ht="18.75" customHeight="1">
      <c r="A152" s="27">
        <v>1</v>
      </c>
      <c r="B152" s="19" t="s">
        <v>782</v>
      </c>
      <c r="C152" s="132"/>
      <c r="D152" s="83"/>
      <c r="E152" s="83"/>
      <c r="F152" s="84"/>
      <c r="G152" s="6"/>
      <c r="H152" s="46"/>
      <c r="I152" s="46"/>
      <c r="J152" s="46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</row>
    <row r="153" spans="1:26" ht="18.75" customHeight="1">
      <c r="A153" s="27">
        <v>2</v>
      </c>
      <c r="B153" s="19" t="s">
        <v>783</v>
      </c>
      <c r="C153" s="132"/>
      <c r="D153" s="83"/>
      <c r="E153" s="83"/>
      <c r="F153" s="84"/>
      <c r="G153" s="6"/>
      <c r="H153" s="46"/>
      <c r="I153" s="46"/>
      <c r="J153" s="46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</row>
    <row r="154" spans="1:26" ht="18.75" customHeight="1">
      <c r="A154" s="27">
        <v>3</v>
      </c>
      <c r="B154" s="19" t="s">
        <v>784</v>
      </c>
      <c r="C154" s="132"/>
      <c r="D154" s="83"/>
      <c r="E154" s="83"/>
      <c r="F154" s="84"/>
      <c r="G154" s="6"/>
      <c r="H154" s="46"/>
      <c r="I154" s="46"/>
      <c r="J154" s="46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</row>
    <row r="155" spans="1:26" ht="18.75" customHeight="1">
      <c r="A155" s="27">
        <v>4</v>
      </c>
      <c r="B155" s="19" t="s">
        <v>785</v>
      </c>
      <c r="C155" s="132"/>
      <c r="D155" s="83"/>
      <c r="E155" s="83"/>
      <c r="F155" s="84"/>
      <c r="G155" s="6"/>
      <c r="H155" s="46"/>
      <c r="I155" s="46"/>
      <c r="J155" s="46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</row>
    <row r="156" spans="1:26" ht="18.75" customHeight="1">
      <c r="A156" s="27">
        <v>5</v>
      </c>
      <c r="B156" s="19" t="s">
        <v>786</v>
      </c>
      <c r="C156" s="132"/>
      <c r="D156" s="83"/>
      <c r="E156" s="83"/>
      <c r="F156" s="84"/>
      <c r="G156" s="6"/>
      <c r="H156" s="46"/>
      <c r="I156" s="46"/>
      <c r="J156" s="46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</row>
    <row r="157" spans="1:26" ht="18.75" customHeight="1">
      <c r="A157" s="27">
        <v>6</v>
      </c>
      <c r="B157" s="19" t="s">
        <v>787</v>
      </c>
      <c r="C157" s="132"/>
      <c r="D157" s="83"/>
      <c r="E157" s="83"/>
      <c r="F157" s="84"/>
      <c r="G157" s="6"/>
      <c r="H157" s="46"/>
      <c r="I157" s="46"/>
      <c r="J157" s="46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</row>
    <row r="158" spans="1:26" ht="31.5" customHeight="1">
      <c r="A158" s="27">
        <v>7</v>
      </c>
      <c r="B158" s="19" t="s">
        <v>788</v>
      </c>
      <c r="C158" s="132"/>
      <c r="D158" s="83"/>
      <c r="E158" s="83"/>
      <c r="F158" s="84"/>
      <c r="G158" s="6"/>
      <c r="H158" s="46"/>
      <c r="I158" s="46"/>
      <c r="J158" s="46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</row>
    <row r="159" spans="1:26" ht="18.75" customHeight="1">
      <c r="A159" s="27">
        <v>8</v>
      </c>
      <c r="B159" s="19" t="s">
        <v>789</v>
      </c>
      <c r="C159" s="132"/>
      <c r="D159" s="83"/>
      <c r="E159" s="83"/>
      <c r="F159" s="84"/>
      <c r="G159" s="6"/>
      <c r="H159" s="46"/>
      <c r="I159" s="46"/>
      <c r="J159" s="46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</row>
    <row r="160" spans="1:26" ht="18.75" customHeight="1">
      <c r="A160" s="27">
        <v>9</v>
      </c>
      <c r="B160" s="19" t="s">
        <v>790</v>
      </c>
      <c r="C160" s="132"/>
      <c r="D160" s="83"/>
      <c r="E160" s="83"/>
      <c r="F160" s="84"/>
      <c r="G160" s="6"/>
      <c r="H160" s="46"/>
      <c r="I160" s="46"/>
      <c r="J160" s="46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</row>
    <row r="161" spans="1:26" ht="18.75" customHeight="1">
      <c r="A161" s="27">
        <v>10</v>
      </c>
      <c r="B161" s="19" t="s">
        <v>791</v>
      </c>
      <c r="C161" s="132"/>
      <c r="D161" s="83"/>
      <c r="E161" s="83"/>
      <c r="F161" s="84"/>
      <c r="G161" s="6"/>
      <c r="H161" s="46"/>
      <c r="I161" s="46"/>
      <c r="J161" s="46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</row>
    <row r="162" spans="1:26" ht="18.75" customHeight="1">
      <c r="A162" s="27">
        <v>11</v>
      </c>
      <c r="B162" s="19" t="s">
        <v>792</v>
      </c>
      <c r="C162" s="132"/>
      <c r="D162" s="83"/>
      <c r="E162" s="83"/>
      <c r="F162" s="84"/>
      <c r="G162" s="6"/>
      <c r="H162" s="46"/>
      <c r="I162" s="46"/>
      <c r="J162" s="46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</row>
    <row r="163" spans="1:26" ht="18.75" customHeight="1">
      <c r="A163" s="27">
        <v>12</v>
      </c>
      <c r="B163" s="19" t="s">
        <v>793</v>
      </c>
      <c r="C163" s="132"/>
      <c r="D163" s="83"/>
      <c r="E163" s="83"/>
      <c r="F163" s="84"/>
      <c r="G163" s="6"/>
      <c r="H163" s="46"/>
      <c r="I163" s="46"/>
      <c r="J163" s="46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</row>
    <row r="164" spans="1:26" ht="18.75" customHeight="1">
      <c r="A164" s="27">
        <v>13</v>
      </c>
      <c r="B164" s="19" t="s">
        <v>794</v>
      </c>
      <c r="C164" s="132"/>
      <c r="D164" s="83"/>
      <c r="E164" s="83"/>
      <c r="F164" s="84"/>
      <c r="G164" s="6"/>
      <c r="H164" s="46"/>
      <c r="I164" s="46"/>
      <c r="J164" s="46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</row>
    <row r="165" spans="1:26" ht="18.75" customHeight="1">
      <c r="A165" s="27">
        <v>14</v>
      </c>
      <c r="B165" s="19" t="s">
        <v>795</v>
      </c>
      <c r="C165" s="132"/>
      <c r="D165" s="83"/>
      <c r="E165" s="83"/>
      <c r="F165" s="84"/>
      <c r="G165" s="6"/>
      <c r="H165" s="46"/>
      <c r="I165" s="46"/>
      <c r="J165" s="46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</row>
    <row r="166" spans="1:26" ht="33" customHeight="1">
      <c r="A166" s="27">
        <v>15</v>
      </c>
      <c r="B166" s="19" t="s">
        <v>796</v>
      </c>
      <c r="C166" s="132"/>
      <c r="D166" s="83"/>
      <c r="E166" s="83"/>
      <c r="F166" s="84"/>
      <c r="G166" s="6"/>
      <c r="H166" s="46"/>
      <c r="I166" s="46"/>
      <c r="J166" s="46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</row>
    <row r="167" spans="1:26" ht="30.75" customHeight="1">
      <c r="A167" s="173" t="s">
        <v>797</v>
      </c>
      <c r="B167" s="89"/>
      <c r="C167" s="89"/>
      <c r="D167" s="89"/>
      <c r="E167" s="89"/>
      <c r="F167" s="153"/>
      <c r="G167" s="36" t="str">
        <f>IF(COUNT(G152:G166)=0,"N/A",SUM((G152:G166))/(COUNT((G152:G166))*2))</f>
        <v>N/A</v>
      </c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</row>
    <row r="168" spans="1:26" ht="18.75" customHeight="1">
      <c r="A168" s="46"/>
      <c r="B168" s="46"/>
      <c r="C168" s="46"/>
      <c r="D168" s="46"/>
      <c r="E168" s="46"/>
      <c r="F168" s="46"/>
      <c r="G168" s="46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</row>
    <row r="169" spans="1:26" ht="18.75" customHeight="1">
      <c r="A169" s="46"/>
      <c r="B169" s="46"/>
      <c r="C169" s="46"/>
      <c r="D169" s="46"/>
      <c r="E169" s="46"/>
      <c r="F169" s="46"/>
      <c r="G169" s="46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</row>
    <row r="170" spans="1:26" ht="18.75" customHeight="1">
      <c r="A170" s="46"/>
      <c r="B170" s="46"/>
      <c r="C170" s="46"/>
      <c r="D170" s="46"/>
      <c r="E170" s="46"/>
      <c r="F170" s="46"/>
      <c r="G170" s="46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</row>
    <row r="171" spans="1:26" ht="18.75" customHeight="1">
      <c r="A171" s="46"/>
      <c r="B171" s="46"/>
      <c r="C171" s="46"/>
      <c r="D171" s="46"/>
      <c r="E171" s="46"/>
      <c r="F171" s="46"/>
      <c r="G171" s="46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</row>
    <row r="172" spans="1:26" ht="18.75" customHeight="1">
      <c r="A172" s="46"/>
      <c r="B172" s="46"/>
      <c r="C172" s="46"/>
      <c r="D172" s="46"/>
      <c r="E172" s="46"/>
      <c r="F172" s="46"/>
      <c r="G172" s="46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</row>
    <row r="173" spans="1:26" ht="18.75" customHeight="1">
      <c r="A173" s="46"/>
      <c r="B173" s="46"/>
      <c r="C173" s="46"/>
      <c r="D173" s="46"/>
      <c r="E173" s="46"/>
      <c r="F173" s="46"/>
      <c r="G173" s="46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</row>
    <row r="174" spans="1:26" ht="18.75" customHeight="1">
      <c r="A174" s="46"/>
      <c r="B174" s="46"/>
      <c r="C174" s="46"/>
      <c r="D174" s="46"/>
      <c r="E174" s="46"/>
      <c r="F174" s="46"/>
      <c r="G174" s="46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</row>
    <row r="175" spans="1:26" ht="18.75" customHeight="1">
      <c r="A175" s="46"/>
      <c r="B175" s="46"/>
      <c r="C175" s="46"/>
      <c r="D175" s="46"/>
      <c r="E175" s="46"/>
      <c r="F175" s="46"/>
      <c r="G175" s="46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</row>
    <row r="176" spans="1:26" ht="18.75" customHeight="1">
      <c r="A176" s="46"/>
      <c r="B176" s="46"/>
      <c r="C176" s="46"/>
      <c r="D176" s="46"/>
      <c r="E176" s="46"/>
      <c r="F176" s="46"/>
      <c r="G176" s="46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</row>
    <row r="177" spans="1:26" ht="18.75" customHeight="1">
      <c r="A177" s="46"/>
      <c r="B177" s="46"/>
      <c r="C177" s="46"/>
      <c r="D177" s="46"/>
      <c r="E177" s="46"/>
      <c r="F177" s="46"/>
      <c r="G177" s="46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</row>
    <row r="178" spans="1:26" ht="18.75" customHeight="1">
      <c r="A178" s="46"/>
      <c r="B178" s="46"/>
      <c r="C178" s="46"/>
      <c r="D178" s="46"/>
      <c r="E178" s="46"/>
      <c r="F178" s="46"/>
      <c r="G178" s="46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</row>
    <row r="179" spans="1:26" ht="18.75" customHeight="1">
      <c r="A179" s="46"/>
      <c r="B179" s="46"/>
      <c r="C179" s="46"/>
      <c r="D179" s="46"/>
      <c r="E179" s="46"/>
      <c r="F179" s="46"/>
      <c r="G179" s="46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</row>
    <row r="180" spans="1:26" ht="18.75" customHeight="1">
      <c r="A180" s="46"/>
      <c r="B180" s="46"/>
      <c r="C180" s="46"/>
      <c r="D180" s="46"/>
      <c r="E180" s="46"/>
      <c r="F180" s="46"/>
      <c r="G180" s="46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</row>
    <row r="181" spans="1:26" ht="18.75" customHeight="1">
      <c r="A181" s="46"/>
      <c r="B181" s="46"/>
      <c r="C181" s="46"/>
      <c r="D181" s="46"/>
      <c r="E181" s="46"/>
      <c r="F181" s="46"/>
      <c r="G181" s="46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</row>
    <row r="182" spans="1:26" ht="18.75" customHeight="1">
      <c r="A182" s="46"/>
      <c r="B182" s="46"/>
      <c r="C182" s="46"/>
      <c r="D182" s="46"/>
      <c r="E182" s="46"/>
      <c r="F182" s="46"/>
      <c r="G182" s="46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</row>
    <row r="183" spans="1:26" ht="18.75" customHeight="1">
      <c r="A183" s="46"/>
      <c r="B183" s="46"/>
      <c r="C183" s="46"/>
      <c r="D183" s="46"/>
      <c r="E183" s="46"/>
      <c r="F183" s="46"/>
      <c r="G183" s="46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</row>
    <row r="184" spans="1:26" ht="18.75" customHeight="1">
      <c r="A184" s="46"/>
      <c r="B184" s="46"/>
      <c r="C184" s="46"/>
      <c r="D184" s="46"/>
      <c r="E184" s="46"/>
      <c r="F184" s="46"/>
      <c r="G184" s="46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</row>
    <row r="185" spans="1:26" ht="18.75" customHeight="1">
      <c r="A185" s="46"/>
      <c r="B185" s="46"/>
      <c r="C185" s="46"/>
      <c r="D185" s="46"/>
      <c r="E185" s="46"/>
      <c r="F185" s="46"/>
      <c r="G185" s="46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</row>
    <row r="186" spans="1:26" ht="18.75" customHeight="1">
      <c r="A186" s="46"/>
      <c r="B186" s="46"/>
      <c r="C186" s="46"/>
      <c r="D186" s="46"/>
      <c r="E186" s="46"/>
      <c r="F186" s="46"/>
      <c r="G186" s="46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</row>
    <row r="187" spans="1:26" ht="18.75" customHeight="1">
      <c r="A187" s="46"/>
      <c r="B187" s="46"/>
      <c r="C187" s="46"/>
      <c r="D187" s="46"/>
      <c r="E187" s="46"/>
      <c r="F187" s="46"/>
      <c r="G187" s="46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</row>
    <row r="188" spans="1:26" ht="18.75" customHeight="1">
      <c r="A188" s="46"/>
      <c r="B188" s="46"/>
      <c r="C188" s="46"/>
      <c r="D188" s="46"/>
      <c r="E188" s="46"/>
      <c r="F188" s="46"/>
      <c r="G188" s="46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</row>
    <row r="189" spans="1:26" ht="18.75" customHeight="1">
      <c r="A189" s="46"/>
      <c r="B189" s="46"/>
      <c r="C189" s="46"/>
      <c r="D189" s="46"/>
      <c r="E189" s="46"/>
      <c r="F189" s="46"/>
      <c r="G189" s="46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</row>
    <row r="190" spans="1:26" ht="18.75" customHeight="1">
      <c r="A190" s="46"/>
      <c r="B190" s="46"/>
      <c r="C190" s="46"/>
      <c r="D190" s="46"/>
      <c r="E190" s="46"/>
      <c r="F190" s="46"/>
      <c r="G190" s="46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</row>
    <row r="191" spans="1:26" ht="18.75" customHeight="1">
      <c r="A191" s="46"/>
      <c r="B191" s="46"/>
      <c r="C191" s="46"/>
      <c r="D191" s="46"/>
      <c r="E191" s="46"/>
      <c r="F191" s="46"/>
      <c r="G191" s="46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</row>
    <row r="192" spans="1:26" ht="18.75" customHeight="1">
      <c r="A192" s="46"/>
      <c r="B192" s="46"/>
      <c r="C192" s="46"/>
      <c r="D192" s="46"/>
      <c r="E192" s="46"/>
      <c r="F192" s="46"/>
      <c r="G192" s="46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</row>
    <row r="193" spans="1:26" ht="18.75" customHeight="1">
      <c r="A193" s="46"/>
      <c r="B193" s="46"/>
      <c r="C193" s="46"/>
      <c r="D193" s="46"/>
      <c r="E193" s="46"/>
      <c r="F193" s="46"/>
      <c r="G193" s="46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</row>
    <row r="194" spans="1:26" ht="18.75" customHeight="1">
      <c r="A194" s="46"/>
      <c r="B194" s="46"/>
      <c r="C194" s="46"/>
      <c r="D194" s="46"/>
      <c r="E194" s="46"/>
      <c r="F194" s="46"/>
      <c r="G194" s="46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</row>
    <row r="195" spans="1:26" ht="18.75" customHeight="1">
      <c r="A195" s="46"/>
      <c r="B195" s="46"/>
      <c r="C195" s="46"/>
      <c r="D195" s="46"/>
      <c r="E195" s="46"/>
      <c r="F195" s="46"/>
      <c r="G195" s="46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</row>
    <row r="196" spans="1:26" ht="18.75" customHeight="1">
      <c r="A196" s="46"/>
      <c r="B196" s="46"/>
      <c r="C196" s="46"/>
      <c r="D196" s="46"/>
      <c r="E196" s="46"/>
      <c r="F196" s="46"/>
      <c r="G196" s="46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</row>
    <row r="197" spans="1:26" ht="18.75" customHeight="1">
      <c r="A197" s="46"/>
      <c r="B197" s="46"/>
      <c r="C197" s="46"/>
      <c r="D197" s="46"/>
      <c r="E197" s="46"/>
      <c r="F197" s="46"/>
      <c r="G197" s="46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</row>
    <row r="198" spans="1:26" ht="18.75" customHeight="1">
      <c r="A198" s="46"/>
      <c r="B198" s="46"/>
      <c r="C198" s="46"/>
      <c r="D198" s="46"/>
      <c r="E198" s="46"/>
      <c r="F198" s="46"/>
      <c r="G198" s="46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</row>
    <row r="199" spans="1:26" ht="18.75" customHeight="1">
      <c r="A199" s="46"/>
      <c r="B199" s="46"/>
      <c r="C199" s="46"/>
      <c r="D199" s="46"/>
      <c r="E199" s="46"/>
      <c r="F199" s="46"/>
      <c r="G199" s="46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</row>
    <row r="200" spans="1:26" ht="18.75" customHeight="1">
      <c r="A200" s="46"/>
      <c r="B200" s="46"/>
      <c r="C200" s="46"/>
      <c r="D200" s="46"/>
      <c r="E200" s="46"/>
      <c r="F200" s="46"/>
      <c r="G200" s="46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</row>
    <row r="201" spans="1:26" ht="18.75" customHeight="1">
      <c r="A201" s="46"/>
      <c r="B201" s="46"/>
      <c r="C201" s="46"/>
      <c r="D201" s="46"/>
      <c r="E201" s="46"/>
      <c r="F201" s="46"/>
      <c r="G201" s="46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</row>
    <row r="202" spans="1:26" ht="18.75" customHeight="1">
      <c r="A202" s="46"/>
      <c r="B202" s="46"/>
      <c r="C202" s="46"/>
      <c r="D202" s="46"/>
      <c r="E202" s="46"/>
      <c r="F202" s="46"/>
      <c r="G202" s="46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</row>
    <row r="203" spans="1:26" ht="18.75" customHeight="1">
      <c r="A203" s="46"/>
      <c r="B203" s="46"/>
      <c r="C203" s="46"/>
      <c r="D203" s="46"/>
      <c r="E203" s="46"/>
      <c r="F203" s="46"/>
      <c r="G203" s="46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</row>
    <row r="204" spans="1:26" ht="18.75" customHeight="1">
      <c r="A204" s="46"/>
      <c r="B204" s="46"/>
      <c r="C204" s="46"/>
      <c r="D204" s="46"/>
      <c r="E204" s="46"/>
      <c r="F204" s="46"/>
      <c r="G204" s="46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</row>
    <row r="205" spans="1:26" ht="18.75" customHeight="1">
      <c r="A205" s="46"/>
      <c r="B205" s="46"/>
      <c r="C205" s="46"/>
      <c r="D205" s="46"/>
      <c r="E205" s="46"/>
      <c r="F205" s="46"/>
      <c r="G205" s="46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</row>
    <row r="206" spans="1:26" ht="18.75" customHeight="1">
      <c r="A206" s="46"/>
      <c r="B206" s="46"/>
      <c r="C206" s="46"/>
      <c r="D206" s="46"/>
      <c r="E206" s="46"/>
      <c r="F206" s="46"/>
      <c r="G206" s="46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</row>
    <row r="207" spans="1:26" ht="18.75" customHeight="1">
      <c r="A207" s="46"/>
      <c r="B207" s="46"/>
      <c r="C207" s="46"/>
      <c r="D207" s="46"/>
      <c r="E207" s="46"/>
      <c r="F207" s="46"/>
      <c r="G207" s="46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</row>
    <row r="208" spans="1:26" ht="18.75" customHeight="1">
      <c r="A208" s="46"/>
      <c r="B208" s="46"/>
      <c r="C208" s="46"/>
      <c r="D208" s="46"/>
      <c r="E208" s="46"/>
      <c r="F208" s="46"/>
      <c r="G208" s="46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</row>
    <row r="209" spans="1:26" ht="18.75" customHeight="1">
      <c r="A209" s="46"/>
      <c r="B209" s="46"/>
      <c r="C209" s="46"/>
      <c r="D209" s="46"/>
      <c r="E209" s="46"/>
      <c r="F209" s="46"/>
      <c r="G209" s="46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</row>
    <row r="210" spans="1:26" ht="18.75" customHeight="1">
      <c r="A210" s="46"/>
      <c r="B210" s="46"/>
      <c r="C210" s="46"/>
      <c r="D210" s="46"/>
      <c r="E210" s="46"/>
      <c r="F210" s="46"/>
      <c r="G210" s="46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</row>
    <row r="211" spans="1:26" ht="18.75" customHeight="1">
      <c r="A211" s="46"/>
      <c r="B211" s="46"/>
      <c r="C211" s="46"/>
      <c r="D211" s="46"/>
      <c r="E211" s="46"/>
      <c r="F211" s="46"/>
      <c r="G211" s="46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</row>
    <row r="212" spans="1:26" ht="18.75" customHeight="1">
      <c r="A212" s="46"/>
      <c r="B212" s="46"/>
      <c r="C212" s="46"/>
      <c r="D212" s="46"/>
      <c r="E212" s="46"/>
      <c r="F212" s="46"/>
      <c r="G212" s="46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</row>
    <row r="213" spans="1:26" ht="18.75" customHeight="1">
      <c r="A213" s="46"/>
      <c r="B213" s="46"/>
      <c r="C213" s="46"/>
      <c r="D213" s="46"/>
      <c r="E213" s="46"/>
      <c r="F213" s="46"/>
      <c r="G213" s="46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</row>
    <row r="214" spans="1:26" ht="18.75" customHeight="1">
      <c r="A214" s="46"/>
      <c r="B214" s="46"/>
      <c r="C214" s="46"/>
      <c r="D214" s="46"/>
      <c r="E214" s="46"/>
      <c r="F214" s="46"/>
      <c r="G214" s="46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</row>
    <row r="215" spans="1:26" ht="18.75" customHeight="1">
      <c r="A215" s="46"/>
      <c r="B215" s="46"/>
      <c r="C215" s="46"/>
      <c r="D215" s="46"/>
      <c r="E215" s="46"/>
      <c r="F215" s="46"/>
      <c r="G215" s="46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</row>
    <row r="216" spans="1:26" ht="18.75" customHeight="1">
      <c r="A216" s="46"/>
      <c r="B216" s="46"/>
      <c r="C216" s="46"/>
      <c r="D216" s="46"/>
      <c r="E216" s="46"/>
      <c r="F216" s="46"/>
      <c r="G216" s="46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</row>
    <row r="217" spans="1:26" ht="18.75" customHeight="1">
      <c r="A217" s="46"/>
      <c r="B217" s="46"/>
      <c r="C217" s="46"/>
      <c r="D217" s="46"/>
      <c r="E217" s="46"/>
      <c r="F217" s="46"/>
      <c r="G217" s="46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</row>
    <row r="218" spans="1:26" ht="18.75" customHeight="1">
      <c r="A218" s="46"/>
      <c r="B218" s="46"/>
      <c r="C218" s="46"/>
      <c r="D218" s="46"/>
      <c r="E218" s="46"/>
      <c r="F218" s="46"/>
      <c r="G218" s="46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</row>
    <row r="219" spans="1:26" ht="18.75" customHeight="1">
      <c r="A219" s="46"/>
      <c r="B219" s="46"/>
      <c r="C219" s="46"/>
      <c r="D219" s="46"/>
      <c r="E219" s="46"/>
      <c r="F219" s="46"/>
      <c r="G219" s="46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</row>
    <row r="220" spans="1:26" ht="18.75" customHeight="1">
      <c r="A220" s="46"/>
      <c r="B220" s="46"/>
      <c r="C220" s="46"/>
      <c r="D220" s="46"/>
      <c r="E220" s="46"/>
      <c r="F220" s="46"/>
      <c r="G220" s="46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</row>
    <row r="221" spans="1:26" ht="18.75" customHeight="1">
      <c r="A221" s="46"/>
      <c r="B221" s="46"/>
      <c r="C221" s="46"/>
      <c r="D221" s="46"/>
      <c r="E221" s="46"/>
      <c r="F221" s="46"/>
      <c r="G221" s="46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</row>
    <row r="222" spans="1:26" ht="18.75" customHeight="1">
      <c r="A222" s="46"/>
      <c r="B222" s="46"/>
      <c r="C222" s="46"/>
      <c r="D222" s="46"/>
      <c r="E222" s="46"/>
      <c r="F222" s="46"/>
      <c r="G222" s="46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</row>
    <row r="223" spans="1:26" ht="18.75" customHeight="1">
      <c r="A223" s="46"/>
      <c r="B223" s="46"/>
      <c r="C223" s="46"/>
      <c r="D223" s="46"/>
      <c r="E223" s="46"/>
      <c r="F223" s="46"/>
      <c r="G223" s="46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</row>
    <row r="224" spans="1:26" ht="18.75" customHeight="1">
      <c r="A224" s="46"/>
      <c r="B224" s="46"/>
      <c r="C224" s="46"/>
      <c r="D224" s="46"/>
      <c r="E224" s="46"/>
      <c r="F224" s="46"/>
      <c r="G224" s="46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</row>
    <row r="225" spans="1:26" ht="18.75" customHeight="1">
      <c r="A225" s="46"/>
      <c r="B225" s="46"/>
      <c r="C225" s="46"/>
      <c r="D225" s="46"/>
      <c r="E225" s="46"/>
      <c r="F225" s="46"/>
      <c r="G225" s="46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</row>
    <row r="226" spans="1:26" ht="18.75" customHeight="1">
      <c r="A226" s="46"/>
      <c r="B226" s="46"/>
      <c r="C226" s="46"/>
      <c r="D226" s="46"/>
      <c r="E226" s="46"/>
      <c r="F226" s="46"/>
      <c r="G226" s="46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</row>
    <row r="227" spans="1:26" ht="18.75" customHeight="1">
      <c r="A227" s="46"/>
      <c r="B227" s="46"/>
      <c r="C227" s="46"/>
      <c r="D227" s="46"/>
      <c r="E227" s="46"/>
      <c r="F227" s="46"/>
      <c r="G227" s="46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</row>
    <row r="228" spans="1:26" ht="18.75" customHeight="1">
      <c r="A228" s="46"/>
      <c r="B228" s="46"/>
      <c r="C228" s="46"/>
      <c r="D228" s="46"/>
      <c r="E228" s="46"/>
      <c r="F228" s="46"/>
      <c r="G228" s="46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</row>
    <row r="229" spans="1:26" ht="18.75" customHeight="1">
      <c r="A229" s="46"/>
      <c r="B229" s="46"/>
      <c r="C229" s="46"/>
      <c r="D229" s="46"/>
      <c r="E229" s="46"/>
      <c r="F229" s="46"/>
      <c r="G229" s="46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</row>
    <row r="230" spans="1:26" ht="18.75" customHeight="1">
      <c r="A230" s="46"/>
      <c r="B230" s="46"/>
      <c r="C230" s="46"/>
      <c r="D230" s="46"/>
      <c r="E230" s="46"/>
      <c r="F230" s="46"/>
      <c r="G230" s="46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</row>
    <row r="231" spans="1:26" ht="18.75" customHeight="1">
      <c r="A231" s="46"/>
      <c r="B231" s="46"/>
      <c r="C231" s="46"/>
      <c r="D231" s="46"/>
      <c r="E231" s="46"/>
      <c r="F231" s="46"/>
      <c r="G231" s="46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</row>
    <row r="232" spans="1:26" ht="18.75" customHeight="1">
      <c r="A232" s="46"/>
      <c r="B232" s="46"/>
      <c r="C232" s="46"/>
      <c r="D232" s="46"/>
      <c r="E232" s="46"/>
      <c r="F232" s="46"/>
      <c r="G232" s="46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</row>
    <row r="233" spans="1:26" ht="18.75" customHeight="1">
      <c r="A233" s="46"/>
      <c r="B233" s="46"/>
      <c r="C233" s="46"/>
      <c r="D233" s="46"/>
      <c r="E233" s="46"/>
      <c r="F233" s="46"/>
      <c r="G233" s="46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</row>
    <row r="234" spans="1:26" ht="18.75" customHeight="1">
      <c r="A234" s="46"/>
      <c r="B234" s="46"/>
      <c r="C234" s="46"/>
      <c r="D234" s="46"/>
      <c r="E234" s="46"/>
      <c r="F234" s="46"/>
      <c r="G234" s="46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</row>
    <row r="235" spans="1:26" ht="18.75" customHeight="1">
      <c r="A235" s="46"/>
      <c r="B235" s="46"/>
      <c r="C235" s="46"/>
      <c r="D235" s="46"/>
      <c r="E235" s="46"/>
      <c r="F235" s="46"/>
      <c r="G235" s="46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</row>
    <row r="236" spans="1:26" ht="18.75" customHeight="1">
      <c r="A236" s="46"/>
      <c r="B236" s="46"/>
      <c r="C236" s="46"/>
      <c r="D236" s="46"/>
      <c r="E236" s="46"/>
      <c r="F236" s="46"/>
      <c r="G236" s="46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</row>
    <row r="237" spans="1:26" ht="18.75" customHeight="1">
      <c r="A237" s="46"/>
      <c r="B237" s="46"/>
      <c r="C237" s="46"/>
      <c r="D237" s="46"/>
      <c r="E237" s="46"/>
      <c r="F237" s="46"/>
      <c r="G237" s="46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</row>
    <row r="238" spans="1:26" ht="18.75" customHeight="1">
      <c r="A238" s="46"/>
      <c r="B238" s="46"/>
      <c r="C238" s="46"/>
      <c r="D238" s="46"/>
      <c r="E238" s="46"/>
      <c r="F238" s="46"/>
      <c r="G238" s="46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</row>
    <row r="239" spans="1:26" ht="18.75" customHeight="1">
      <c r="A239" s="46"/>
      <c r="B239" s="46"/>
      <c r="C239" s="46"/>
      <c r="D239" s="46"/>
      <c r="E239" s="46"/>
      <c r="F239" s="46"/>
      <c r="G239" s="46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</row>
    <row r="240" spans="1:26" ht="18.75" customHeight="1">
      <c r="A240" s="46"/>
      <c r="B240" s="46"/>
      <c r="C240" s="46"/>
      <c r="D240" s="46"/>
      <c r="E240" s="46"/>
      <c r="F240" s="46"/>
      <c r="G240" s="46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</row>
    <row r="241" spans="1:26" ht="18.75" customHeight="1">
      <c r="A241" s="46"/>
      <c r="B241" s="46"/>
      <c r="C241" s="46"/>
      <c r="D241" s="46"/>
      <c r="E241" s="46"/>
      <c r="F241" s="46"/>
      <c r="G241" s="46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</row>
    <row r="242" spans="1:26" ht="18.75" customHeight="1">
      <c r="A242" s="46"/>
      <c r="B242" s="46"/>
      <c r="C242" s="46"/>
      <c r="D242" s="46"/>
      <c r="E242" s="46"/>
      <c r="F242" s="46"/>
      <c r="G242" s="46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</row>
    <row r="243" spans="1:26" ht="18.75" customHeight="1">
      <c r="A243" s="46"/>
      <c r="B243" s="46"/>
      <c r="C243" s="46"/>
      <c r="D243" s="46"/>
      <c r="E243" s="46"/>
      <c r="F243" s="46"/>
      <c r="G243" s="46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</row>
    <row r="244" spans="1:26" ht="18.75" customHeight="1">
      <c r="A244" s="46"/>
      <c r="B244" s="46"/>
      <c r="C244" s="46"/>
      <c r="D244" s="46"/>
      <c r="E244" s="46"/>
      <c r="F244" s="46"/>
      <c r="G244" s="46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</row>
    <row r="245" spans="1:26" ht="18.75" customHeight="1">
      <c r="A245" s="46"/>
      <c r="B245" s="46"/>
      <c r="C245" s="46"/>
      <c r="D245" s="46"/>
      <c r="E245" s="46"/>
      <c r="F245" s="46"/>
      <c r="G245" s="46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</row>
    <row r="246" spans="1:26" ht="18.75" customHeight="1">
      <c r="A246" s="46"/>
      <c r="B246" s="46"/>
      <c r="C246" s="46"/>
      <c r="D246" s="46"/>
      <c r="E246" s="46"/>
      <c r="F246" s="46"/>
      <c r="G246" s="46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</row>
    <row r="247" spans="1:26" ht="18.75" customHeight="1">
      <c r="A247" s="46"/>
      <c r="B247" s="46"/>
      <c r="C247" s="46"/>
      <c r="D247" s="46"/>
      <c r="E247" s="46"/>
      <c r="F247" s="46"/>
      <c r="G247" s="46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</row>
    <row r="248" spans="1:26" ht="18.75" customHeight="1">
      <c r="A248" s="46"/>
      <c r="B248" s="46"/>
      <c r="C248" s="46"/>
      <c r="D248" s="46"/>
      <c r="E248" s="46"/>
      <c r="F248" s="46"/>
      <c r="G248" s="46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</row>
    <row r="249" spans="1:26" ht="18.75" customHeight="1">
      <c r="A249" s="46"/>
      <c r="B249" s="46"/>
      <c r="C249" s="46"/>
      <c r="D249" s="46"/>
      <c r="E249" s="46"/>
      <c r="F249" s="46"/>
      <c r="G249" s="46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</row>
    <row r="250" spans="1:26" ht="18.75" customHeight="1">
      <c r="A250" s="46"/>
      <c r="B250" s="46"/>
      <c r="C250" s="46"/>
      <c r="D250" s="46"/>
      <c r="E250" s="46"/>
      <c r="F250" s="46"/>
      <c r="G250" s="46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</row>
    <row r="251" spans="1:26" ht="18.75" customHeight="1">
      <c r="A251" s="46"/>
      <c r="B251" s="46"/>
      <c r="C251" s="46"/>
      <c r="D251" s="46"/>
      <c r="E251" s="46"/>
      <c r="F251" s="46"/>
      <c r="G251" s="46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</row>
    <row r="252" spans="1:26" ht="18.75" customHeight="1">
      <c r="A252" s="46"/>
      <c r="B252" s="46"/>
      <c r="C252" s="46"/>
      <c r="D252" s="46"/>
      <c r="E252" s="46"/>
      <c r="F252" s="46"/>
      <c r="G252" s="46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</row>
    <row r="253" spans="1:26" ht="18.75" customHeight="1">
      <c r="A253" s="46"/>
      <c r="B253" s="46"/>
      <c r="C253" s="46"/>
      <c r="D253" s="46"/>
      <c r="E253" s="46"/>
      <c r="F253" s="46"/>
      <c r="G253" s="46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</row>
    <row r="254" spans="1:26" ht="18.75" customHeight="1">
      <c r="A254" s="46"/>
      <c r="B254" s="46"/>
      <c r="C254" s="46"/>
      <c r="D254" s="46"/>
      <c r="E254" s="46"/>
      <c r="F254" s="46"/>
      <c r="G254" s="46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</row>
    <row r="255" spans="1:26" ht="18.75" customHeight="1">
      <c r="A255" s="46"/>
      <c r="B255" s="46"/>
      <c r="C255" s="46"/>
      <c r="D255" s="46"/>
      <c r="E255" s="46"/>
      <c r="F255" s="46"/>
      <c r="G255" s="46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</row>
    <row r="256" spans="1:26" ht="18.75" customHeight="1">
      <c r="A256" s="46"/>
      <c r="B256" s="46"/>
      <c r="C256" s="46"/>
      <c r="D256" s="46"/>
      <c r="E256" s="46"/>
      <c r="F256" s="46"/>
      <c r="G256" s="46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</row>
    <row r="257" spans="1:26" ht="18.75" customHeight="1">
      <c r="A257" s="46"/>
      <c r="B257" s="46"/>
      <c r="C257" s="46"/>
      <c r="D257" s="46"/>
      <c r="E257" s="46"/>
      <c r="F257" s="46"/>
      <c r="G257" s="46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</row>
    <row r="258" spans="1:26" ht="18.75" customHeight="1">
      <c r="A258" s="46"/>
      <c r="B258" s="46"/>
      <c r="C258" s="46"/>
      <c r="D258" s="46"/>
      <c r="E258" s="46"/>
      <c r="F258" s="46"/>
      <c r="G258" s="46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</row>
    <row r="259" spans="1:26" ht="18.75" customHeight="1">
      <c r="A259" s="46"/>
      <c r="B259" s="46"/>
      <c r="C259" s="46"/>
      <c r="D259" s="46"/>
      <c r="E259" s="46"/>
      <c r="F259" s="46"/>
      <c r="G259" s="46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</row>
    <row r="260" spans="1:26" ht="18.75" customHeight="1">
      <c r="A260" s="46"/>
      <c r="B260" s="46"/>
      <c r="C260" s="46"/>
      <c r="D260" s="46"/>
      <c r="E260" s="46"/>
      <c r="F260" s="46"/>
      <c r="G260" s="46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</row>
    <row r="261" spans="1:26" ht="18.75" customHeight="1">
      <c r="A261" s="46"/>
      <c r="B261" s="46"/>
      <c r="C261" s="46"/>
      <c r="D261" s="46"/>
      <c r="E261" s="46"/>
      <c r="F261" s="46"/>
      <c r="G261" s="46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</row>
    <row r="262" spans="1:26" ht="18.75" customHeight="1">
      <c r="A262" s="46"/>
      <c r="B262" s="46"/>
      <c r="C262" s="46"/>
      <c r="D262" s="46"/>
      <c r="E262" s="46"/>
      <c r="F262" s="46"/>
      <c r="G262" s="46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</row>
    <row r="263" spans="1:26" ht="18.75" customHeight="1">
      <c r="A263" s="46"/>
      <c r="B263" s="46"/>
      <c r="C263" s="46"/>
      <c r="D263" s="46"/>
      <c r="E263" s="46"/>
      <c r="F263" s="46"/>
      <c r="G263" s="46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</row>
    <row r="264" spans="1:26" ht="18.75" customHeight="1">
      <c r="A264" s="46"/>
      <c r="B264" s="46"/>
      <c r="C264" s="46"/>
      <c r="D264" s="46"/>
      <c r="E264" s="46"/>
      <c r="F264" s="46"/>
      <c r="G264" s="46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</row>
    <row r="265" spans="1:26" ht="18.75" customHeight="1">
      <c r="A265" s="46"/>
      <c r="B265" s="46"/>
      <c r="C265" s="46"/>
      <c r="D265" s="46"/>
      <c r="E265" s="46"/>
      <c r="F265" s="46"/>
      <c r="G265" s="46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</row>
    <row r="266" spans="1:26" ht="18.75" customHeight="1">
      <c r="A266" s="46"/>
      <c r="B266" s="46"/>
      <c r="C266" s="46"/>
      <c r="D266" s="46"/>
      <c r="E266" s="46"/>
      <c r="F266" s="46"/>
      <c r="G266" s="46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</row>
    <row r="267" spans="1:26" ht="18.75" customHeight="1">
      <c r="A267" s="46"/>
      <c r="B267" s="46"/>
      <c r="C267" s="46"/>
      <c r="D267" s="46"/>
      <c r="E267" s="46"/>
      <c r="F267" s="46"/>
      <c r="G267" s="46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</row>
    <row r="268" spans="1:26" ht="18.75" customHeight="1">
      <c r="A268" s="46"/>
      <c r="B268" s="46"/>
      <c r="C268" s="46"/>
      <c r="D268" s="46"/>
      <c r="E268" s="46"/>
      <c r="F268" s="46"/>
      <c r="G268" s="46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</row>
    <row r="269" spans="1:26" ht="18.75" customHeight="1">
      <c r="A269" s="46"/>
      <c r="B269" s="46"/>
      <c r="C269" s="46"/>
      <c r="D269" s="46"/>
      <c r="E269" s="46"/>
      <c r="F269" s="46"/>
      <c r="G269" s="46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</row>
    <row r="270" spans="1:26" ht="18.75" customHeight="1">
      <c r="A270" s="46"/>
      <c r="B270" s="46"/>
      <c r="C270" s="46"/>
      <c r="D270" s="46"/>
      <c r="E270" s="46"/>
      <c r="F270" s="46"/>
      <c r="G270" s="46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</row>
    <row r="271" spans="1:26" ht="18.75" customHeight="1">
      <c r="A271" s="46"/>
      <c r="B271" s="46"/>
      <c r="C271" s="46"/>
      <c r="D271" s="46"/>
      <c r="E271" s="46"/>
      <c r="F271" s="46"/>
      <c r="G271" s="46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</row>
    <row r="272" spans="1:26" ht="18.75" customHeight="1">
      <c r="A272" s="46"/>
      <c r="B272" s="46"/>
      <c r="C272" s="46"/>
      <c r="D272" s="46"/>
      <c r="E272" s="46"/>
      <c r="F272" s="46"/>
      <c r="G272" s="46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</row>
    <row r="273" spans="1:26" ht="18.75" customHeight="1">
      <c r="A273" s="46"/>
      <c r="B273" s="46"/>
      <c r="C273" s="46"/>
      <c r="D273" s="46"/>
      <c r="E273" s="46"/>
      <c r="F273" s="46"/>
      <c r="G273" s="46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</row>
    <row r="274" spans="1:26" ht="18.75" customHeight="1">
      <c r="A274" s="46"/>
      <c r="B274" s="46"/>
      <c r="C274" s="46"/>
      <c r="D274" s="46"/>
      <c r="E274" s="46"/>
      <c r="F274" s="46"/>
      <c r="G274" s="46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</row>
    <row r="275" spans="1:26" ht="18.75" customHeight="1">
      <c r="A275" s="46"/>
      <c r="B275" s="46"/>
      <c r="C275" s="46"/>
      <c r="D275" s="46"/>
      <c r="E275" s="46"/>
      <c r="F275" s="46"/>
      <c r="G275" s="46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</row>
    <row r="276" spans="1:26" ht="18.75" customHeight="1">
      <c r="A276" s="46"/>
      <c r="B276" s="46"/>
      <c r="C276" s="46"/>
      <c r="D276" s="46"/>
      <c r="E276" s="46"/>
      <c r="F276" s="46"/>
      <c r="G276" s="46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</row>
    <row r="277" spans="1:26" ht="18.75" customHeight="1">
      <c r="A277" s="46"/>
      <c r="B277" s="46"/>
      <c r="C277" s="46"/>
      <c r="D277" s="46"/>
      <c r="E277" s="46"/>
      <c r="F277" s="46"/>
      <c r="G277" s="46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</row>
    <row r="278" spans="1:26" ht="18.75" customHeight="1">
      <c r="A278" s="46"/>
      <c r="B278" s="46"/>
      <c r="C278" s="46"/>
      <c r="D278" s="46"/>
      <c r="E278" s="46"/>
      <c r="F278" s="46"/>
      <c r="G278" s="46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</row>
    <row r="279" spans="1:26" ht="18.75" customHeight="1">
      <c r="A279" s="46"/>
      <c r="B279" s="46"/>
      <c r="C279" s="46"/>
      <c r="D279" s="46"/>
      <c r="E279" s="46"/>
      <c r="F279" s="46"/>
      <c r="G279" s="46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</row>
    <row r="280" spans="1:26" ht="18.75" customHeight="1">
      <c r="A280" s="46"/>
      <c r="B280" s="46"/>
      <c r="C280" s="46"/>
      <c r="D280" s="46"/>
      <c r="E280" s="46"/>
      <c r="F280" s="46"/>
      <c r="G280" s="46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</row>
    <row r="281" spans="1:26" ht="18.75" customHeight="1">
      <c r="A281" s="46"/>
      <c r="B281" s="46"/>
      <c r="C281" s="46"/>
      <c r="D281" s="46"/>
      <c r="E281" s="46"/>
      <c r="F281" s="46"/>
      <c r="G281" s="46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</row>
    <row r="282" spans="1:26" ht="18.75" customHeight="1">
      <c r="A282" s="46"/>
      <c r="B282" s="46"/>
      <c r="C282" s="46"/>
      <c r="D282" s="46"/>
      <c r="E282" s="46"/>
      <c r="F282" s="46"/>
      <c r="G282" s="46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</row>
    <row r="283" spans="1:26" ht="18.75" customHeight="1">
      <c r="A283" s="46"/>
      <c r="B283" s="46"/>
      <c r="C283" s="46"/>
      <c r="D283" s="46"/>
      <c r="E283" s="46"/>
      <c r="F283" s="46"/>
      <c r="G283" s="46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</row>
    <row r="284" spans="1:26" ht="18.75" customHeight="1">
      <c r="A284" s="46"/>
      <c r="B284" s="46"/>
      <c r="C284" s="46"/>
      <c r="D284" s="46"/>
      <c r="E284" s="46"/>
      <c r="F284" s="46"/>
      <c r="G284" s="46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</row>
    <row r="285" spans="1:26" ht="18.75" customHeight="1">
      <c r="A285" s="46"/>
      <c r="B285" s="46"/>
      <c r="C285" s="46"/>
      <c r="D285" s="46"/>
      <c r="E285" s="46"/>
      <c r="F285" s="46"/>
      <c r="G285" s="46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</row>
    <row r="286" spans="1:26" ht="18.75" customHeight="1">
      <c r="A286" s="46"/>
      <c r="B286" s="46"/>
      <c r="C286" s="46"/>
      <c r="D286" s="46"/>
      <c r="E286" s="46"/>
      <c r="F286" s="46"/>
      <c r="G286" s="46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</row>
    <row r="287" spans="1:26" ht="18.75" customHeight="1">
      <c r="A287" s="46"/>
      <c r="B287" s="46"/>
      <c r="C287" s="46"/>
      <c r="D287" s="46"/>
      <c r="E287" s="46"/>
      <c r="F287" s="46"/>
      <c r="G287" s="46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</row>
    <row r="288" spans="1:26" ht="18.75" customHeight="1">
      <c r="A288" s="46"/>
      <c r="B288" s="46"/>
      <c r="C288" s="46"/>
      <c r="D288" s="46"/>
      <c r="E288" s="46"/>
      <c r="F288" s="46"/>
      <c r="G288" s="46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</row>
    <row r="289" spans="1:26" ht="18.75" customHeight="1">
      <c r="A289" s="46"/>
      <c r="B289" s="46"/>
      <c r="C289" s="46"/>
      <c r="D289" s="46"/>
      <c r="E289" s="46"/>
      <c r="F289" s="46"/>
      <c r="G289" s="46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</row>
    <row r="290" spans="1:26" ht="18.75" customHeight="1">
      <c r="A290" s="46"/>
      <c r="B290" s="46"/>
      <c r="C290" s="46"/>
      <c r="D290" s="46"/>
      <c r="E290" s="46"/>
      <c r="F290" s="46"/>
      <c r="G290" s="46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</row>
    <row r="291" spans="1:26" ht="18.75" customHeight="1">
      <c r="A291" s="46"/>
      <c r="B291" s="46"/>
      <c r="C291" s="46"/>
      <c r="D291" s="46"/>
      <c r="E291" s="46"/>
      <c r="F291" s="46"/>
      <c r="G291" s="46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</row>
    <row r="292" spans="1:26" ht="18.75" customHeight="1">
      <c r="A292" s="46"/>
      <c r="B292" s="46"/>
      <c r="C292" s="46"/>
      <c r="D292" s="46"/>
      <c r="E292" s="46"/>
      <c r="F292" s="46"/>
      <c r="G292" s="46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</row>
    <row r="293" spans="1:26" ht="18.75" customHeight="1">
      <c r="A293" s="46"/>
      <c r="B293" s="46"/>
      <c r="C293" s="46"/>
      <c r="D293" s="46"/>
      <c r="E293" s="46"/>
      <c r="F293" s="46"/>
      <c r="G293" s="46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</row>
    <row r="294" spans="1:26" ht="18.75" customHeight="1">
      <c r="A294" s="46"/>
      <c r="B294" s="46"/>
      <c r="C294" s="46"/>
      <c r="D294" s="46"/>
      <c r="E294" s="46"/>
      <c r="F294" s="46"/>
      <c r="G294" s="46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</row>
    <row r="295" spans="1:26" ht="18.75" customHeight="1">
      <c r="A295" s="46"/>
      <c r="B295" s="46"/>
      <c r="C295" s="46"/>
      <c r="D295" s="46"/>
      <c r="E295" s="46"/>
      <c r="F295" s="46"/>
      <c r="G295" s="46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</row>
    <row r="296" spans="1:26" ht="18.75" customHeight="1">
      <c r="A296" s="46"/>
      <c r="B296" s="46"/>
      <c r="C296" s="46"/>
      <c r="D296" s="46"/>
      <c r="E296" s="46"/>
      <c r="F296" s="46"/>
      <c r="G296" s="46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</row>
    <row r="297" spans="1:26" ht="18.75" customHeight="1">
      <c r="A297" s="46"/>
      <c r="B297" s="46"/>
      <c r="C297" s="46"/>
      <c r="D297" s="46"/>
      <c r="E297" s="46"/>
      <c r="F297" s="46"/>
      <c r="G297" s="46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</row>
    <row r="298" spans="1:26" ht="18.75" customHeight="1">
      <c r="A298" s="46"/>
      <c r="B298" s="46"/>
      <c r="C298" s="46"/>
      <c r="D298" s="46"/>
      <c r="E298" s="46"/>
      <c r="F298" s="46"/>
      <c r="G298" s="46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</row>
    <row r="299" spans="1:26" ht="18.75" customHeight="1">
      <c r="A299" s="46"/>
      <c r="B299" s="46"/>
      <c r="C299" s="46"/>
      <c r="D299" s="46"/>
      <c r="E299" s="46"/>
      <c r="F299" s="46"/>
      <c r="G299" s="46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</row>
    <row r="300" spans="1:26" ht="18.75" customHeight="1">
      <c r="A300" s="46"/>
      <c r="B300" s="46"/>
      <c r="C300" s="46"/>
      <c r="D300" s="46"/>
      <c r="E300" s="46"/>
      <c r="F300" s="46"/>
      <c r="G300" s="46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</row>
    <row r="301" spans="1:26" ht="18.75" customHeight="1">
      <c r="A301" s="46"/>
      <c r="B301" s="46"/>
      <c r="C301" s="46"/>
      <c r="D301" s="46"/>
      <c r="E301" s="46"/>
      <c r="F301" s="46"/>
      <c r="G301" s="46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</row>
    <row r="302" spans="1:26" ht="18.75" customHeight="1">
      <c r="A302" s="46"/>
      <c r="B302" s="46"/>
      <c r="C302" s="46"/>
      <c r="D302" s="46"/>
      <c r="E302" s="46"/>
      <c r="F302" s="46"/>
      <c r="G302" s="46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</row>
    <row r="303" spans="1:26" ht="18.75" customHeight="1">
      <c r="A303" s="46"/>
      <c r="B303" s="46"/>
      <c r="C303" s="46"/>
      <c r="D303" s="46"/>
      <c r="E303" s="46"/>
      <c r="F303" s="46"/>
      <c r="G303" s="46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</row>
    <row r="304" spans="1:26" ht="18.75" customHeight="1">
      <c r="A304" s="46"/>
      <c r="B304" s="46"/>
      <c r="C304" s="46"/>
      <c r="D304" s="46"/>
      <c r="E304" s="46"/>
      <c r="F304" s="46"/>
      <c r="G304" s="46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</row>
    <row r="305" spans="1:26" ht="18.75" customHeight="1">
      <c r="A305" s="46"/>
      <c r="B305" s="46"/>
      <c r="C305" s="46"/>
      <c r="D305" s="46"/>
      <c r="E305" s="46"/>
      <c r="F305" s="46"/>
      <c r="G305" s="46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</row>
    <row r="306" spans="1:26" ht="18.75" customHeight="1">
      <c r="A306" s="46"/>
      <c r="B306" s="46"/>
      <c r="C306" s="46"/>
      <c r="D306" s="46"/>
      <c r="E306" s="46"/>
      <c r="F306" s="46"/>
      <c r="G306" s="46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</row>
    <row r="307" spans="1:26" ht="18.75" customHeight="1">
      <c r="A307" s="46"/>
      <c r="B307" s="46"/>
      <c r="C307" s="46"/>
      <c r="D307" s="46"/>
      <c r="E307" s="46"/>
      <c r="F307" s="46"/>
      <c r="G307" s="46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</row>
    <row r="308" spans="1:26" ht="18.75" customHeight="1">
      <c r="A308" s="46"/>
      <c r="B308" s="46"/>
      <c r="C308" s="46"/>
      <c r="D308" s="46"/>
      <c r="E308" s="46"/>
      <c r="F308" s="46"/>
      <c r="G308" s="46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</row>
    <row r="309" spans="1:26" ht="18.75" customHeight="1">
      <c r="A309" s="46"/>
      <c r="B309" s="46"/>
      <c r="C309" s="46"/>
      <c r="D309" s="46"/>
      <c r="E309" s="46"/>
      <c r="F309" s="46"/>
      <c r="G309" s="46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</row>
    <row r="310" spans="1:26" ht="18.75" customHeight="1">
      <c r="A310" s="46"/>
      <c r="B310" s="46"/>
      <c r="C310" s="46"/>
      <c r="D310" s="46"/>
      <c r="E310" s="46"/>
      <c r="F310" s="46"/>
      <c r="G310" s="46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</row>
    <row r="311" spans="1:26" ht="18.75" customHeight="1">
      <c r="A311" s="46"/>
      <c r="B311" s="46"/>
      <c r="C311" s="46"/>
      <c r="D311" s="46"/>
      <c r="E311" s="46"/>
      <c r="F311" s="46"/>
      <c r="G311" s="46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</row>
    <row r="312" spans="1:26" ht="18.75" customHeight="1">
      <c r="A312" s="46"/>
      <c r="B312" s="46"/>
      <c r="C312" s="46"/>
      <c r="D312" s="46"/>
      <c r="E312" s="46"/>
      <c r="F312" s="46"/>
      <c r="G312" s="46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</row>
    <row r="313" spans="1:26" ht="18.75" customHeight="1">
      <c r="A313" s="46"/>
      <c r="B313" s="46"/>
      <c r="C313" s="46"/>
      <c r="D313" s="46"/>
      <c r="E313" s="46"/>
      <c r="F313" s="46"/>
      <c r="G313" s="46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</row>
    <row r="314" spans="1:26" ht="18.75" customHeight="1">
      <c r="A314" s="46"/>
      <c r="B314" s="46"/>
      <c r="C314" s="46"/>
      <c r="D314" s="46"/>
      <c r="E314" s="46"/>
      <c r="F314" s="46"/>
      <c r="G314" s="46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</row>
    <row r="315" spans="1:26" ht="18.75" customHeight="1">
      <c r="A315" s="46"/>
      <c r="B315" s="46"/>
      <c r="C315" s="46"/>
      <c r="D315" s="46"/>
      <c r="E315" s="46"/>
      <c r="F315" s="46"/>
      <c r="G315" s="46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</row>
    <row r="316" spans="1:26" ht="18.75" customHeight="1">
      <c r="A316" s="46"/>
      <c r="B316" s="46"/>
      <c r="C316" s="46"/>
      <c r="D316" s="46"/>
      <c r="E316" s="46"/>
      <c r="F316" s="46"/>
      <c r="G316" s="46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</row>
    <row r="317" spans="1:26" ht="18.75" customHeight="1">
      <c r="A317" s="46"/>
      <c r="B317" s="46"/>
      <c r="C317" s="46"/>
      <c r="D317" s="46"/>
      <c r="E317" s="46"/>
      <c r="F317" s="46"/>
      <c r="G317" s="46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</row>
    <row r="318" spans="1:26" ht="18.75" customHeight="1">
      <c r="A318" s="46"/>
      <c r="B318" s="46"/>
      <c r="C318" s="46"/>
      <c r="D318" s="46"/>
      <c r="E318" s="46"/>
      <c r="F318" s="46"/>
      <c r="G318" s="46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</row>
    <row r="319" spans="1:26" ht="18.75" customHeight="1">
      <c r="A319" s="46"/>
      <c r="B319" s="46"/>
      <c r="C319" s="46"/>
      <c r="D319" s="46"/>
      <c r="E319" s="46"/>
      <c r="F319" s="46"/>
      <c r="G319" s="46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</row>
    <row r="320" spans="1:26" ht="18.75" customHeight="1">
      <c r="A320" s="46"/>
      <c r="B320" s="46"/>
      <c r="C320" s="46"/>
      <c r="D320" s="46"/>
      <c r="E320" s="46"/>
      <c r="F320" s="46"/>
      <c r="G320" s="46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</row>
    <row r="321" spans="1:26" ht="18.75" customHeight="1">
      <c r="A321" s="46"/>
      <c r="B321" s="46"/>
      <c r="C321" s="46"/>
      <c r="D321" s="46"/>
      <c r="E321" s="46"/>
      <c r="F321" s="46"/>
      <c r="G321" s="46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</row>
    <row r="322" spans="1:26" ht="18.75" customHeight="1">
      <c r="A322" s="46"/>
      <c r="B322" s="46"/>
      <c r="C322" s="46"/>
      <c r="D322" s="46"/>
      <c r="E322" s="46"/>
      <c r="F322" s="46"/>
      <c r="G322" s="46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</row>
    <row r="323" spans="1:26" ht="18.75" customHeight="1">
      <c r="A323" s="46"/>
      <c r="B323" s="46"/>
      <c r="C323" s="46"/>
      <c r="D323" s="46"/>
      <c r="E323" s="46"/>
      <c r="F323" s="46"/>
      <c r="G323" s="46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</row>
    <row r="324" spans="1:26" ht="18.75" customHeight="1">
      <c r="A324" s="46"/>
      <c r="B324" s="46"/>
      <c r="C324" s="46"/>
      <c r="D324" s="46"/>
      <c r="E324" s="46"/>
      <c r="F324" s="46"/>
      <c r="G324" s="46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</row>
    <row r="325" spans="1:26" ht="18.75" customHeight="1">
      <c r="A325" s="46"/>
      <c r="B325" s="46"/>
      <c r="C325" s="46"/>
      <c r="D325" s="46"/>
      <c r="E325" s="46"/>
      <c r="F325" s="46"/>
      <c r="G325" s="46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</row>
    <row r="326" spans="1:26" ht="18.75" customHeight="1">
      <c r="A326" s="46"/>
      <c r="B326" s="46"/>
      <c r="C326" s="46"/>
      <c r="D326" s="46"/>
      <c r="E326" s="46"/>
      <c r="F326" s="46"/>
      <c r="G326" s="46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</row>
    <row r="327" spans="1:26" ht="18.75" customHeight="1">
      <c r="A327" s="46"/>
      <c r="B327" s="46"/>
      <c r="C327" s="46"/>
      <c r="D327" s="46"/>
      <c r="E327" s="46"/>
      <c r="F327" s="46"/>
      <c r="G327" s="46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</row>
    <row r="328" spans="1:26" ht="18.75" customHeight="1">
      <c r="A328" s="46"/>
      <c r="B328" s="46"/>
      <c r="C328" s="46"/>
      <c r="D328" s="46"/>
      <c r="E328" s="46"/>
      <c r="F328" s="46"/>
      <c r="G328" s="46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</row>
    <row r="329" spans="1:26" ht="18.75" customHeight="1">
      <c r="A329" s="46"/>
      <c r="B329" s="46"/>
      <c r="C329" s="46"/>
      <c r="D329" s="46"/>
      <c r="E329" s="46"/>
      <c r="F329" s="46"/>
      <c r="G329" s="46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</row>
    <row r="330" spans="1:26" ht="18.75" customHeight="1">
      <c r="A330" s="46"/>
      <c r="B330" s="46"/>
      <c r="C330" s="46"/>
      <c r="D330" s="46"/>
      <c r="E330" s="46"/>
      <c r="F330" s="46"/>
      <c r="G330" s="46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</row>
    <row r="331" spans="1:26" ht="18.75" customHeight="1">
      <c r="A331" s="46"/>
      <c r="B331" s="46"/>
      <c r="C331" s="46"/>
      <c r="D331" s="46"/>
      <c r="E331" s="46"/>
      <c r="F331" s="46"/>
      <c r="G331" s="46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</row>
    <row r="332" spans="1:26" ht="18.75" customHeight="1">
      <c r="A332" s="46"/>
      <c r="B332" s="46"/>
      <c r="C332" s="46"/>
      <c r="D332" s="46"/>
      <c r="E332" s="46"/>
      <c r="F332" s="46"/>
      <c r="G332" s="46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</row>
    <row r="333" spans="1:26" ht="18.75" customHeight="1">
      <c r="A333" s="46"/>
      <c r="B333" s="46"/>
      <c r="C333" s="46"/>
      <c r="D333" s="46"/>
      <c r="E333" s="46"/>
      <c r="F333" s="46"/>
      <c r="G333" s="46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</row>
    <row r="334" spans="1:26" ht="18.75" customHeight="1">
      <c r="A334" s="46"/>
      <c r="B334" s="46"/>
      <c r="C334" s="46"/>
      <c r="D334" s="46"/>
      <c r="E334" s="46"/>
      <c r="F334" s="46"/>
      <c r="G334" s="46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</row>
    <row r="335" spans="1:26" ht="18.75" customHeight="1">
      <c r="A335" s="46"/>
      <c r="B335" s="46"/>
      <c r="C335" s="46"/>
      <c r="D335" s="46"/>
      <c r="E335" s="46"/>
      <c r="F335" s="46"/>
      <c r="G335" s="46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</row>
    <row r="336" spans="1:26" ht="18.75" customHeight="1">
      <c r="A336" s="46"/>
      <c r="B336" s="46"/>
      <c r="C336" s="46"/>
      <c r="D336" s="46"/>
      <c r="E336" s="46"/>
      <c r="F336" s="46"/>
      <c r="G336" s="46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</row>
    <row r="337" spans="1:26" ht="18.75" customHeight="1">
      <c r="A337" s="46"/>
      <c r="B337" s="46"/>
      <c r="C337" s="46"/>
      <c r="D337" s="46"/>
      <c r="E337" s="46"/>
      <c r="F337" s="46"/>
      <c r="G337" s="46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</row>
    <row r="338" spans="1:26" ht="18.75" customHeight="1">
      <c r="A338" s="46"/>
      <c r="B338" s="46"/>
      <c r="C338" s="46"/>
      <c r="D338" s="46"/>
      <c r="E338" s="46"/>
      <c r="F338" s="46"/>
      <c r="G338" s="46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</row>
    <row r="339" spans="1:26" ht="18.75" customHeight="1">
      <c r="A339" s="46"/>
      <c r="B339" s="46"/>
      <c r="C339" s="46"/>
      <c r="D339" s="46"/>
      <c r="E339" s="46"/>
      <c r="F339" s="46"/>
      <c r="G339" s="46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</row>
    <row r="340" spans="1:26" ht="18.75" customHeight="1">
      <c r="A340" s="46"/>
      <c r="B340" s="46"/>
      <c r="C340" s="46"/>
      <c r="D340" s="46"/>
      <c r="E340" s="46"/>
      <c r="F340" s="46"/>
      <c r="G340" s="46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</row>
    <row r="341" spans="1:26" ht="18.75" customHeight="1">
      <c r="A341" s="46"/>
      <c r="B341" s="46"/>
      <c r="C341" s="46"/>
      <c r="D341" s="46"/>
      <c r="E341" s="46"/>
      <c r="F341" s="46"/>
      <c r="G341" s="46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</row>
    <row r="342" spans="1:26" ht="18.75" customHeight="1">
      <c r="A342" s="46"/>
      <c r="B342" s="46"/>
      <c r="C342" s="46"/>
      <c r="D342" s="46"/>
      <c r="E342" s="46"/>
      <c r="F342" s="46"/>
      <c r="G342" s="46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</row>
    <row r="343" spans="1:26" ht="18.75" customHeight="1">
      <c r="A343" s="46"/>
      <c r="B343" s="46"/>
      <c r="C343" s="46"/>
      <c r="D343" s="46"/>
      <c r="E343" s="46"/>
      <c r="F343" s="46"/>
      <c r="G343" s="46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</row>
    <row r="344" spans="1:26" ht="18.75" customHeight="1">
      <c r="A344" s="46"/>
      <c r="B344" s="46"/>
      <c r="C344" s="46"/>
      <c r="D344" s="46"/>
      <c r="E344" s="46"/>
      <c r="F344" s="46"/>
      <c r="G344" s="46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</row>
    <row r="345" spans="1:26" ht="18.75" customHeight="1">
      <c r="A345" s="46"/>
      <c r="B345" s="46"/>
      <c r="C345" s="46"/>
      <c r="D345" s="46"/>
      <c r="E345" s="46"/>
      <c r="F345" s="46"/>
      <c r="G345" s="46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</row>
    <row r="346" spans="1:26" ht="18.75" customHeight="1">
      <c r="A346" s="46"/>
      <c r="B346" s="46"/>
      <c r="C346" s="46"/>
      <c r="D346" s="46"/>
      <c r="E346" s="46"/>
      <c r="F346" s="46"/>
      <c r="G346" s="46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</row>
    <row r="347" spans="1:26" ht="18.75" customHeight="1">
      <c r="A347" s="46"/>
      <c r="B347" s="46"/>
      <c r="C347" s="46"/>
      <c r="D347" s="46"/>
      <c r="E347" s="46"/>
      <c r="F347" s="46"/>
      <c r="G347" s="46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</row>
    <row r="348" spans="1:26" ht="18.75" customHeight="1">
      <c r="A348" s="46"/>
      <c r="B348" s="46"/>
      <c r="C348" s="46"/>
      <c r="D348" s="46"/>
      <c r="E348" s="46"/>
      <c r="F348" s="46"/>
      <c r="G348" s="46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</row>
    <row r="349" spans="1:26" ht="18.75" customHeight="1">
      <c r="A349" s="46"/>
      <c r="B349" s="46"/>
      <c r="C349" s="46"/>
      <c r="D349" s="46"/>
      <c r="E349" s="46"/>
      <c r="F349" s="46"/>
      <c r="G349" s="46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</row>
    <row r="350" spans="1:26" ht="18.75" customHeight="1">
      <c r="A350" s="46"/>
      <c r="B350" s="46"/>
      <c r="C350" s="46"/>
      <c r="D350" s="46"/>
      <c r="E350" s="46"/>
      <c r="F350" s="46"/>
      <c r="G350" s="46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</row>
    <row r="351" spans="1:26" ht="18.75" customHeight="1">
      <c r="A351" s="46"/>
      <c r="B351" s="46"/>
      <c r="C351" s="46"/>
      <c r="D351" s="46"/>
      <c r="E351" s="46"/>
      <c r="F351" s="46"/>
      <c r="G351" s="46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</row>
    <row r="352" spans="1:26" ht="18.75" customHeight="1">
      <c r="A352" s="46"/>
      <c r="B352" s="46"/>
      <c r="C352" s="46"/>
      <c r="D352" s="46"/>
      <c r="E352" s="46"/>
      <c r="F352" s="46"/>
      <c r="G352" s="46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</row>
    <row r="353" spans="1:26" ht="18.75" customHeight="1">
      <c r="A353" s="46"/>
      <c r="B353" s="46"/>
      <c r="C353" s="46"/>
      <c r="D353" s="46"/>
      <c r="E353" s="46"/>
      <c r="F353" s="46"/>
      <c r="G353" s="46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</row>
    <row r="354" spans="1:26" ht="18.75" customHeight="1">
      <c r="A354" s="46"/>
      <c r="B354" s="46"/>
      <c r="C354" s="46"/>
      <c r="D354" s="46"/>
      <c r="E354" s="46"/>
      <c r="F354" s="46"/>
      <c r="G354" s="46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</row>
    <row r="355" spans="1:26" ht="18.75" customHeight="1">
      <c r="A355" s="46"/>
      <c r="B355" s="46"/>
      <c r="C355" s="46"/>
      <c r="D355" s="46"/>
      <c r="E355" s="46"/>
      <c r="F355" s="46"/>
      <c r="G355" s="46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</row>
    <row r="356" spans="1:26" ht="18.75" customHeight="1">
      <c r="A356" s="46"/>
      <c r="B356" s="46"/>
      <c r="C356" s="46"/>
      <c r="D356" s="46"/>
      <c r="E356" s="46"/>
      <c r="F356" s="46"/>
      <c r="G356" s="46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</row>
    <row r="357" spans="1:26" ht="18.75" customHeight="1">
      <c r="A357" s="46"/>
      <c r="B357" s="46"/>
      <c r="C357" s="46"/>
      <c r="D357" s="46"/>
      <c r="E357" s="46"/>
      <c r="F357" s="46"/>
      <c r="G357" s="46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</row>
    <row r="358" spans="1:26" ht="18.75" customHeight="1">
      <c r="A358" s="46"/>
      <c r="B358" s="46"/>
      <c r="C358" s="46"/>
      <c r="D358" s="46"/>
      <c r="E358" s="46"/>
      <c r="F358" s="46"/>
      <c r="G358" s="46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</row>
    <row r="359" spans="1:26" ht="18.75" customHeight="1">
      <c r="A359" s="46"/>
      <c r="B359" s="46"/>
      <c r="C359" s="46"/>
      <c r="D359" s="46"/>
      <c r="E359" s="46"/>
      <c r="F359" s="46"/>
      <c r="G359" s="46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</row>
    <row r="360" spans="1:26" ht="18.75" customHeight="1">
      <c r="A360" s="46"/>
      <c r="B360" s="46"/>
      <c r="C360" s="46"/>
      <c r="D360" s="46"/>
      <c r="E360" s="46"/>
      <c r="F360" s="46"/>
      <c r="G360" s="46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</row>
    <row r="361" spans="1:26" ht="18.75" customHeight="1">
      <c r="A361" s="46"/>
      <c r="B361" s="46"/>
      <c r="C361" s="46"/>
      <c r="D361" s="46"/>
      <c r="E361" s="46"/>
      <c r="F361" s="46"/>
      <c r="G361" s="46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</row>
    <row r="362" spans="1:26" ht="18.75" customHeight="1">
      <c r="A362" s="46"/>
      <c r="B362" s="46"/>
      <c r="C362" s="46"/>
      <c r="D362" s="46"/>
      <c r="E362" s="46"/>
      <c r="F362" s="46"/>
      <c r="G362" s="46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</row>
    <row r="363" spans="1:26" ht="18.75" customHeight="1">
      <c r="A363" s="46"/>
      <c r="B363" s="46"/>
      <c r="C363" s="46"/>
      <c r="D363" s="46"/>
      <c r="E363" s="46"/>
      <c r="F363" s="46"/>
      <c r="G363" s="46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</row>
    <row r="364" spans="1:26" ht="18.75" customHeight="1">
      <c r="A364" s="46"/>
      <c r="B364" s="46"/>
      <c r="C364" s="46"/>
      <c r="D364" s="46"/>
      <c r="E364" s="46"/>
      <c r="F364" s="46"/>
      <c r="G364" s="46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</row>
    <row r="365" spans="1:26" ht="18.75" customHeight="1">
      <c r="A365" s="46"/>
      <c r="B365" s="46"/>
      <c r="C365" s="46"/>
      <c r="D365" s="46"/>
      <c r="E365" s="46"/>
      <c r="F365" s="46"/>
      <c r="G365" s="46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</row>
    <row r="366" spans="1:26" ht="18.75" customHeight="1">
      <c r="A366" s="46"/>
      <c r="B366" s="46"/>
      <c r="C366" s="46"/>
      <c r="D366" s="46"/>
      <c r="E366" s="46"/>
      <c r="F366" s="46"/>
      <c r="G366" s="46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</row>
    <row r="367" spans="1:26" ht="18.75" customHeight="1">
      <c r="A367" s="46"/>
      <c r="B367" s="46"/>
      <c r="C367" s="46"/>
      <c r="D367" s="46"/>
      <c r="E367" s="46"/>
      <c r="F367" s="46"/>
      <c r="G367" s="46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</row>
    <row r="368" spans="1:26" ht="18.75" customHeight="1">
      <c r="A368" s="46"/>
      <c r="B368" s="46"/>
      <c r="C368" s="46"/>
      <c r="D368" s="46"/>
      <c r="E368" s="46"/>
      <c r="F368" s="46"/>
      <c r="G368" s="46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</row>
    <row r="369" spans="1:26" ht="18.75" customHeight="1">
      <c r="A369" s="46"/>
      <c r="B369" s="46"/>
      <c r="C369" s="46"/>
      <c r="D369" s="46"/>
      <c r="E369" s="46"/>
      <c r="F369" s="46"/>
      <c r="G369" s="46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</row>
    <row r="370" spans="1:26" ht="18.75" customHeight="1">
      <c r="A370" s="46"/>
      <c r="B370" s="46"/>
      <c r="C370" s="46"/>
      <c r="D370" s="46"/>
      <c r="E370" s="46"/>
      <c r="F370" s="46"/>
      <c r="G370" s="46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</row>
    <row r="371" spans="1:26" ht="18.75" customHeight="1">
      <c r="A371" s="46"/>
      <c r="B371" s="46"/>
      <c r="C371" s="46"/>
      <c r="D371" s="46"/>
      <c r="E371" s="46"/>
      <c r="F371" s="46"/>
      <c r="G371" s="46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</row>
    <row r="372" spans="1:26" ht="18.75" customHeight="1">
      <c r="A372" s="46"/>
      <c r="B372" s="46"/>
      <c r="C372" s="46"/>
      <c r="D372" s="46"/>
      <c r="E372" s="46"/>
      <c r="F372" s="46"/>
      <c r="G372" s="46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</row>
    <row r="373" spans="1:26" ht="18.75" customHeight="1">
      <c r="A373" s="46"/>
      <c r="B373" s="46"/>
      <c r="C373" s="46"/>
      <c r="D373" s="46"/>
      <c r="E373" s="46"/>
      <c r="F373" s="46"/>
      <c r="G373" s="46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</row>
    <row r="374" spans="1:26" ht="18.75" customHeight="1">
      <c r="A374" s="46"/>
      <c r="B374" s="46"/>
      <c r="C374" s="46"/>
      <c r="D374" s="46"/>
      <c r="E374" s="46"/>
      <c r="F374" s="46"/>
      <c r="G374" s="46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</row>
    <row r="375" spans="1:26" ht="18.75" customHeight="1">
      <c r="A375" s="46"/>
      <c r="B375" s="46"/>
      <c r="C375" s="46"/>
      <c r="D375" s="46"/>
      <c r="E375" s="46"/>
      <c r="F375" s="46"/>
      <c r="G375" s="46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</row>
    <row r="376" spans="1:26" ht="18.75" customHeight="1">
      <c r="A376" s="46"/>
      <c r="B376" s="46"/>
      <c r="C376" s="46"/>
      <c r="D376" s="46"/>
      <c r="E376" s="46"/>
      <c r="F376" s="46"/>
      <c r="G376" s="46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</row>
    <row r="377" spans="1:26" ht="18.75" customHeight="1">
      <c r="A377" s="46"/>
      <c r="B377" s="46"/>
      <c r="C377" s="46"/>
      <c r="D377" s="46"/>
      <c r="E377" s="46"/>
      <c r="F377" s="46"/>
      <c r="G377" s="46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</row>
    <row r="378" spans="1:26" ht="18.75" customHeight="1">
      <c r="A378" s="46"/>
      <c r="B378" s="46"/>
      <c r="C378" s="46"/>
      <c r="D378" s="46"/>
      <c r="E378" s="46"/>
      <c r="F378" s="46"/>
      <c r="G378" s="46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</row>
    <row r="379" spans="1:26" ht="18.75" customHeight="1">
      <c r="A379" s="46"/>
      <c r="B379" s="46"/>
      <c r="C379" s="46"/>
      <c r="D379" s="46"/>
      <c r="E379" s="46"/>
      <c r="F379" s="46"/>
      <c r="G379" s="46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</row>
    <row r="380" spans="1:26" ht="18.75" customHeight="1">
      <c r="A380" s="46"/>
      <c r="B380" s="46"/>
      <c r="C380" s="46"/>
      <c r="D380" s="46"/>
      <c r="E380" s="46"/>
      <c r="F380" s="46"/>
      <c r="G380" s="46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</row>
    <row r="381" spans="1:26" ht="18.75" customHeight="1">
      <c r="A381" s="46"/>
      <c r="B381" s="46"/>
      <c r="C381" s="46"/>
      <c r="D381" s="46"/>
      <c r="E381" s="46"/>
      <c r="F381" s="46"/>
      <c r="G381" s="46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</row>
    <row r="382" spans="1:26" ht="18.75" customHeight="1">
      <c r="A382" s="46"/>
      <c r="B382" s="46"/>
      <c r="C382" s="46"/>
      <c r="D382" s="46"/>
      <c r="E382" s="46"/>
      <c r="F382" s="46"/>
      <c r="G382" s="46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</row>
    <row r="383" spans="1:26" ht="18.75" customHeight="1">
      <c r="A383" s="46"/>
      <c r="B383" s="46"/>
      <c r="C383" s="46"/>
      <c r="D383" s="46"/>
      <c r="E383" s="46"/>
      <c r="F383" s="46"/>
      <c r="G383" s="46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</row>
    <row r="384" spans="1:26" ht="18.75" customHeight="1">
      <c r="A384" s="46"/>
      <c r="B384" s="46"/>
      <c r="C384" s="46"/>
      <c r="D384" s="46"/>
      <c r="E384" s="46"/>
      <c r="F384" s="46"/>
      <c r="G384" s="46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</row>
    <row r="385" spans="1:26" ht="18.75" customHeight="1">
      <c r="A385" s="46"/>
      <c r="B385" s="46"/>
      <c r="C385" s="46"/>
      <c r="D385" s="46"/>
      <c r="E385" s="46"/>
      <c r="F385" s="46"/>
      <c r="G385" s="46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</row>
    <row r="386" spans="1:26" ht="18.75" customHeight="1">
      <c r="A386" s="46"/>
      <c r="B386" s="46"/>
      <c r="C386" s="46"/>
      <c r="D386" s="46"/>
      <c r="E386" s="46"/>
      <c r="F386" s="46"/>
      <c r="G386" s="46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</row>
    <row r="387" spans="1:26" ht="18.75" customHeight="1">
      <c r="A387" s="46"/>
      <c r="B387" s="46"/>
      <c r="C387" s="46"/>
      <c r="D387" s="46"/>
      <c r="E387" s="46"/>
      <c r="F387" s="46"/>
      <c r="G387" s="46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</row>
    <row r="388" spans="1:26" ht="18.75" customHeight="1">
      <c r="A388" s="46"/>
      <c r="B388" s="46"/>
      <c r="C388" s="46"/>
      <c r="D388" s="46"/>
      <c r="E388" s="46"/>
      <c r="F388" s="46"/>
      <c r="G388" s="46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</row>
    <row r="389" spans="1:26" ht="18.75" customHeight="1">
      <c r="A389" s="46"/>
      <c r="B389" s="46"/>
      <c r="C389" s="46"/>
      <c r="D389" s="46"/>
      <c r="E389" s="46"/>
      <c r="F389" s="46"/>
      <c r="G389" s="46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</row>
    <row r="390" spans="1:26" ht="18.75" customHeight="1">
      <c r="A390" s="46"/>
      <c r="B390" s="46"/>
      <c r="C390" s="46"/>
      <c r="D390" s="46"/>
      <c r="E390" s="46"/>
      <c r="F390" s="46"/>
      <c r="G390" s="46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</row>
    <row r="391" spans="1:26" ht="18.75" customHeight="1">
      <c r="A391" s="46"/>
      <c r="B391" s="46"/>
      <c r="C391" s="46"/>
      <c r="D391" s="46"/>
      <c r="E391" s="46"/>
      <c r="F391" s="46"/>
      <c r="G391" s="46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</row>
    <row r="392" spans="1:26" ht="18.75" customHeight="1">
      <c r="A392" s="46"/>
      <c r="B392" s="46"/>
      <c r="C392" s="46"/>
      <c r="D392" s="46"/>
      <c r="E392" s="46"/>
      <c r="F392" s="46"/>
      <c r="G392" s="46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</row>
    <row r="393" spans="1:26" ht="18.75" customHeight="1">
      <c r="A393" s="46"/>
      <c r="B393" s="46"/>
      <c r="C393" s="46"/>
      <c r="D393" s="46"/>
      <c r="E393" s="46"/>
      <c r="F393" s="46"/>
      <c r="G393" s="46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</row>
    <row r="394" spans="1:26" ht="18.75" customHeight="1">
      <c r="A394" s="46"/>
      <c r="B394" s="46"/>
      <c r="C394" s="46"/>
      <c r="D394" s="46"/>
      <c r="E394" s="46"/>
      <c r="F394" s="46"/>
      <c r="G394" s="46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</row>
    <row r="395" spans="1:26" ht="18.75" customHeight="1">
      <c r="A395" s="46"/>
      <c r="B395" s="46"/>
      <c r="C395" s="46"/>
      <c r="D395" s="46"/>
      <c r="E395" s="46"/>
      <c r="F395" s="46"/>
      <c r="G395" s="46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</row>
    <row r="396" spans="1:26" ht="18.75" customHeight="1">
      <c r="A396" s="46"/>
      <c r="B396" s="46"/>
      <c r="C396" s="46"/>
      <c r="D396" s="46"/>
      <c r="E396" s="46"/>
      <c r="F396" s="46"/>
      <c r="G396" s="46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</row>
    <row r="397" spans="1:26" ht="18.75" customHeight="1">
      <c r="A397" s="46"/>
      <c r="B397" s="46"/>
      <c r="C397" s="46"/>
      <c r="D397" s="46"/>
      <c r="E397" s="46"/>
      <c r="F397" s="46"/>
      <c r="G397" s="46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</row>
    <row r="398" spans="1:26" ht="18.75" customHeight="1">
      <c r="A398" s="46"/>
      <c r="B398" s="46"/>
      <c r="C398" s="46"/>
      <c r="D398" s="46"/>
      <c r="E398" s="46"/>
      <c r="F398" s="46"/>
      <c r="G398" s="46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</row>
    <row r="399" spans="1:26" ht="18.75" customHeight="1">
      <c r="A399" s="46"/>
      <c r="B399" s="46"/>
      <c r="C399" s="46"/>
      <c r="D399" s="46"/>
      <c r="E399" s="46"/>
      <c r="F399" s="46"/>
      <c r="G399" s="46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</row>
    <row r="400" spans="1:26" ht="18.75" customHeight="1">
      <c r="A400" s="46"/>
      <c r="B400" s="46"/>
      <c r="C400" s="46"/>
      <c r="D400" s="46"/>
      <c r="E400" s="46"/>
      <c r="F400" s="46"/>
      <c r="G400" s="46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</row>
    <row r="401" spans="1:26" ht="18.75" customHeight="1">
      <c r="A401" s="46"/>
      <c r="B401" s="46"/>
      <c r="C401" s="46"/>
      <c r="D401" s="46"/>
      <c r="E401" s="46"/>
      <c r="F401" s="46"/>
      <c r="G401" s="46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</row>
    <row r="402" spans="1:26" ht="18.75" customHeight="1">
      <c r="A402" s="46"/>
      <c r="B402" s="46"/>
      <c r="C402" s="46"/>
      <c r="D402" s="46"/>
      <c r="E402" s="46"/>
      <c r="F402" s="46"/>
      <c r="G402" s="46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</row>
    <row r="403" spans="1:26" ht="18.75" customHeight="1">
      <c r="A403" s="46"/>
      <c r="B403" s="46"/>
      <c r="C403" s="46"/>
      <c r="D403" s="46"/>
      <c r="E403" s="46"/>
      <c r="F403" s="46"/>
      <c r="G403" s="46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</row>
    <row r="404" spans="1:26" ht="18.75" customHeight="1">
      <c r="A404" s="46"/>
      <c r="B404" s="46"/>
      <c r="C404" s="46"/>
      <c r="D404" s="46"/>
      <c r="E404" s="46"/>
      <c r="F404" s="46"/>
      <c r="G404" s="46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</row>
    <row r="405" spans="1:26" ht="18.75" customHeight="1">
      <c r="A405" s="46"/>
      <c r="B405" s="46"/>
      <c r="C405" s="46"/>
      <c r="D405" s="46"/>
      <c r="E405" s="46"/>
      <c r="F405" s="46"/>
      <c r="G405" s="46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</row>
    <row r="406" spans="1:26" ht="18.75" customHeight="1">
      <c r="A406" s="46"/>
      <c r="B406" s="46"/>
      <c r="C406" s="46"/>
      <c r="D406" s="46"/>
      <c r="E406" s="46"/>
      <c r="F406" s="46"/>
      <c r="G406" s="46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</row>
    <row r="407" spans="1:26" ht="18.75" customHeight="1">
      <c r="A407" s="46"/>
      <c r="B407" s="46"/>
      <c r="C407" s="46"/>
      <c r="D407" s="46"/>
      <c r="E407" s="46"/>
      <c r="F407" s="46"/>
      <c r="G407" s="46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</row>
    <row r="408" spans="1:26" ht="18.75" customHeight="1">
      <c r="A408" s="46"/>
      <c r="B408" s="46"/>
      <c r="C408" s="46"/>
      <c r="D408" s="46"/>
      <c r="E408" s="46"/>
      <c r="F408" s="46"/>
      <c r="G408" s="46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</row>
    <row r="409" spans="1:26" ht="18.75" customHeight="1">
      <c r="A409" s="46"/>
      <c r="B409" s="46"/>
      <c r="C409" s="46"/>
      <c r="D409" s="46"/>
      <c r="E409" s="46"/>
      <c r="F409" s="46"/>
      <c r="G409" s="46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</row>
    <row r="410" spans="1:26" ht="18.75" customHeight="1">
      <c r="A410" s="46"/>
      <c r="B410" s="46"/>
      <c r="C410" s="46"/>
      <c r="D410" s="46"/>
      <c r="E410" s="46"/>
      <c r="F410" s="46"/>
      <c r="G410" s="46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</row>
    <row r="411" spans="1:26" ht="18.75" customHeight="1">
      <c r="A411" s="46"/>
      <c r="B411" s="46"/>
      <c r="C411" s="46"/>
      <c r="D411" s="46"/>
      <c r="E411" s="46"/>
      <c r="F411" s="46"/>
      <c r="G411" s="46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</row>
    <row r="412" spans="1:26" ht="18.75" customHeight="1">
      <c r="A412" s="46"/>
      <c r="B412" s="46"/>
      <c r="C412" s="46"/>
      <c r="D412" s="46"/>
      <c r="E412" s="46"/>
      <c r="F412" s="46"/>
      <c r="G412" s="46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</row>
    <row r="413" spans="1:26" ht="18.75" customHeight="1">
      <c r="A413" s="46"/>
      <c r="B413" s="46"/>
      <c r="C413" s="46"/>
      <c r="D413" s="46"/>
      <c r="E413" s="46"/>
      <c r="F413" s="46"/>
      <c r="G413" s="46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</row>
    <row r="414" spans="1:26" ht="18.75" customHeight="1">
      <c r="A414" s="46"/>
      <c r="B414" s="46"/>
      <c r="C414" s="46"/>
      <c r="D414" s="46"/>
      <c r="E414" s="46"/>
      <c r="F414" s="46"/>
      <c r="G414" s="46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</row>
    <row r="415" spans="1:26" ht="18.75" customHeight="1">
      <c r="A415" s="46"/>
      <c r="B415" s="46"/>
      <c r="C415" s="46"/>
      <c r="D415" s="46"/>
      <c r="E415" s="46"/>
      <c r="F415" s="46"/>
      <c r="G415" s="46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</row>
    <row r="416" spans="1:26" ht="18.75" customHeight="1">
      <c r="A416" s="46"/>
      <c r="B416" s="46"/>
      <c r="C416" s="46"/>
      <c r="D416" s="46"/>
      <c r="E416" s="46"/>
      <c r="F416" s="46"/>
      <c r="G416" s="46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</row>
    <row r="417" spans="1:26" ht="18.75" customHeight="1">
      <c r="A417" s="46"/>
      <c r="B417" s="46"/>
      <c r="C417" s="46"/>
      <c r="D417" s="46"/>
      <c r="E417" s="46"/>
      <c r="F417" s="46"/>
      <c r="G417" s="46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</row>
    <row r="418" spans="1:26" ht="18.75" customHeight="1">
      <c r="A418" s="46"/>
      <c r="B418" s="46"/>
      <c r="C418" s="46"/>
      <c r="D418" s="46"/>
      <c r="E418" s="46"/>
      <c r="F418" s="46"/>
      <c r="G418" s="46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</row>
    <row r="419" spans="1:26" ht="18.75" customHeight="1">
      <c r="A419" s="46"/>
      <c r="B419" s="46"/>
      <c r="C419" s="46"/>
      <c r="D419" s="46"/>
      <c r="E419" s="46"/>
      <c r="F419" s="46"/>
      <c r="G419" s="46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</row>
    <row r="420" spans="1:26" ht="18.75" customHeight="1">
      <c r="A420" s="46"/>
      <c r="B420" s="46"/>
      <c r="C420" s="46"/>
      <c r="D420" s="46"/>
      <c r="E420" s="46"/>
      <c r="F420" s="46"/>
      <c r="G420" s="46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</row>
    <row r="421" spans="1:26" ht="18.75" customHeight="1">
      <c r="A421" s="46"/>
      <c r="B421" s="46"/>
      <c r="C421" s="46"/>
      <c r="D421" s="46"/>
      <c r="E421" s="46"/>
      <c r="F421" s="46"/>
      <c r="G421" s="46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</row>
    <row r="422" spans="1:26" ht="18.75" customHeight="1">
      <c r="A422" s="46"/>
      <c r="B422" s="46"/>
      <c r="C422" s="46"/>
      <c r="D422" s="46"/>
      <c r="E422" s="46"/>
      <c r="F422" s="46"/>
      <c r="G422" s="46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</row>
    <row r="423" spans="1:26" ht="18.75" customHeight="1">
      <c r="A423" s="46"/>
      <c r="B423" s="46"/>
      <c r="C423" s="46"/>
      <c r="D423" s="46"/>
      <c r="E423" s="46"/>
      <c r="F423" s="46"/>
      <c r="G423" s="46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</row>
    <row r="424" spans="1:26" ht="18.75" customHeight="1">
      <c r="A424" s="46"/>
      <c r="B424" s="46"/>
      <c r="C424" s="46"/>
      <c r="D424" s="46"/>
      <c r="E424" s="46"/>
      <c r="F424" s="46"/>
      <c r="G424" s="46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</row>
    <row r="425" spans="1:26" ht="18.75" customHeight="1">
      <c r="A425" s="46"/>
      <c r="B425" s="46"/>
      <c r="C425" s="46"/>
      <c r="D425" s="46"/>
      <c r="E425" s="46"/>
      <c r="F425" s="46"/>
      <c r="G425" s="46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</row>
    <row r="426" spans="1:26" ht="18.75" customHeight="1">
      <c r="A426" s="46"/>
      <c r="B426" s="46"/>
      <c r="C426" s="46"/>
      <c r="D426" s="46"/>
      <c r="E426" s="46"/>
      <c r="F426" s="46"/>
      <c r="G426" s="46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</row>
    <row r="427" spans="1:26" ht="18.75" customHeight="1">
      <c r="A427" s="46"/>
      <c r="B427" s="46"/>
      <c r="C427" s="46"/>
      <c r="D427" s="46"/>
      <c r="E427" s="46"/>
      <c r="F427" s="46"/>
      <c r="G427" s="46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</row>
    <row r="428" spans="1:26" ht="18.75" customHeight="1">
      <c r="A428" s="46"/>
      <c r="B428" s="46"/>
      <c r="C428" s="46"/>
      <c r="D428" s="46"/>
      <c r="E428" s="46"/>
      <c r="F428" s="46"/>
      <c r="G428" s="46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</row>
    <row r="429" spans="1:26" ht="18.75" customHeight="1">
      <c r="A429" s="46"/>
      <c r="B429" s="46"/>
      <c r="C429" s="46"/>
      <c r="D429" s="46"/>
      <c r="E429" s="46"/>
      <c r="F429" s="46"/>
      <c r="G429" s="46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</row>
    <row r="430" spans="1:26" ht="18.75" customHeight="1">
      <c r="A430" s="46"/>
      <c r="B430" s="46"/>
      <c r="C430" s="46"/>
      <c r="D430" s="46"/>
      <c r="E430" s="46"/>
      <c r="F430" s="46"/>
      <c r="G430" s="46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</row>
    <row r="431" spans="1:26" ht="18.75" customHeight="1">
      <c r="A431" s="46"/>
      <c r="B431" s="46"/>
      <c r="C431" s="46"/>
      <c r="D431" s="46"/>
      <c r="E431" s="46"/>
      <c r="F431" s="46"/>
      <c r="G431" s="46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</row>
    <row r="432" spans="1:26" ht="18.75" customHeight="1">
      <c r="A432" s="46"/>
      <c r="B432" s="46"/>
      <c r="C432" s="46"/>
      <c r="D432" s="46"/>
      <c r="E432" s="46"/>
      <c r="F432" s="46"/>
      <c r="G432" s="46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</row>
    <row r="433" spans="1:26" ht="18.75" customHeight="1">
      <c r="A433" s="46"/>
      <c r="B433" s="46"/>
      <c r="C433" s="46"/>
      <c r="D433" s="46"/>
      <c r="E433" s="46"/>
      <c r="F433" s="46"/>
      <c r="G433" s="46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</row>
    <row r="434" spans="1:26" ht="18.75" customHeight="1">
      <c r="A434" s="46"/>
      <c r="B434" s="46"/>
      <c r="C434" s="46"/>
      <c r="D434" s="46"/>
      <c r="E434" s="46"/>
      <c r="F434" s="46"/>
      <c r="G434" s="46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</row>
    <row r="435" spans="1:26" ht="18.75" customHeight="1">
      <c r="A435" s="46"/>
      <c r="B435" s="46"/>
      <c r="C435" s="46"/>
      <c r="D435" s="46"/>
      <c r="E435" s="46"/>
      <c r="F435" s="46"/>
      <c r="G435" s="46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</row>
    <row r="436" spans="1:26" ht="18.75" customHeight="1">
      <c r="A436" s="46"/>
      <c r="B436" s="46"/>
      <c r="C436" s="46"/>
      <c r="D436" s="46"/>
      <c r="E436" s="46"/>
      <c r="F436" s="46"/>
      <c r="G436" s="46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</row>
    <row r="437" spans="1:26" ht="18.75" customHeight="1">
      <c r="A437" s="46"/>
      <c r="B437" s="46"/>
      <c r="C437" s="46"/>
      <c r="D437" s="46"/>
      <c r="E437" s="46"/>
      <c r="F437" s="46"/>
      <c r="G437" s="46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</row>
    <row r="438" spans="1:26" ht="18.75" customHeight="1">
      <c r="A438" s="46"/>
      <c r="B438" s="46"/>
      <c r="C438" s="46"/>
      <c r="D438" s="46"/>
      <c r="E438" s="46"/>
      <c r="F438" s="46"/>
      <c r="G438" s="46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</row>
    <row r="439" spans="1:26" ht="18.75" customHeight="1">
      <c r="A439" s="46"/>
      <c r="B439" s="46"/>
      <c r="C439" s="46"/>
      <c r="D439" s="46"/>
      <c r="E439" s="46"/>
      <c r="F439" s="46"/>
      <c r="G439" s="46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</row>
    <row r="440" spans="1:26" ht="18.75" customHeight="1">
      <c r="A440" s="46"/>
      <c r="B440" s="46"/>
      <c r="C440" s="46"/>
      <c r="D440" s="46"/>
      <c r="E440" s="46"/>
      <c r="F440" s="46"/>
      <c r="G440" s="46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</row>
    <row r="441" spans="1:26" ht="18.75" customHeight="1">
      <c r="A441" s="46"/>
      <c r="B441" s="46"/>
      <c r="C441" s="46"/>
      <c r="D441" s="46"/>
      <c r="E441" s="46"/>
      <c r="F441" s="46"/>
      <c r="G441" s="46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</row>
    <row r="442" spans="1:26" ht="18.75" customHeight="1">
      <c r="A442" s="46"/>
      <c r="B442" s="46"/>
      <c r="C442" s="46"/>
      <c r="D442" s="46"/>
      <c r="E442" s="46"/>
      <c r="F442" s="46"/>
      <c r="G442" s="46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</row>
    <row r="443" spans="1:26" ht="18.75" customHeight="1">
      <c r="A443" s="46"/>
      <c r="B443" s="46"/>
      <c r="C443" s="46"/>
      <c r="D443" s="46"/>
      <c r="E443" s="46"/>
      <c r="F443" s="46"/>
      <c r="G443" s="46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</row>
    <row r="444" spans="1:26" ht="18.75" customHeight="1">
      <c r="A444" s="46"/>
      <c r="B444" s="46"/>
      <c r="C444" s="46"/>
      <c r="D444" s="46"/>
      <c r="E444" s="46"/>
      <c r="F444" s="46"/>
      <c r="G444" s="46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</row>
    <row r="445" spans="1:26" ht="18.75" customHeight="1">
      <c r="A445" s="46"/>
      <c r="B445" s="46"/>
      <c r="C445" s="46"/>
      <c r="D445" s="46"/>
      <c r="E445" s="46"/>
      <c r="F445" s="46"/>
      <c r="G445" s="46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</row>
    <row r="446" spans="1:26" ht="18.75" customHeight="1">
      <c r="A446" s="46"/>
      <c r="B446" s="46"/>
      <c r="C446" s="46"/>
      <c r="D446" s="46"/>
      <c r="E446" s="46"/>
      <c r="F446" s="46"/>
      <c r="G446" s="46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</row>
    <row r="447" spans="1:26" ht="18.75" customHeight="1">
      <c r="A447" s="46"/>
      <c r="B447" s="46"/>
      <c r="C447" s="46"/>
      <c r="D447" s="46"/>
      <c r="E447" s="46"/>
      <c r="F447" s="46"/>
      <c r="G447" s="46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</row>
    <row r="448" spans="1:26" ht="18.75" customHeight="1">
      <c r="A448" s="46"/>
      <c r="B448" s="46"/>
      <c r="C448" s="46"/>
      <c r="D448" s="46"/>
      <c r="E448" s="46"/>
      <c r="F448" s="46"/>
      <c r="G448" s="46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</row>
    <row r="449" spans="1:26" ht="18.75" customHeight="1">
      <c r="A449" s="46"/>
      <c r="B449" s="46"/>
      <c r="C449" s="46"/>
      <c r="D449" s="46"/>
      <c r="E449" s="46"/>
      <c r="F449" s="46"/>
      <c r="G449" s="46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</row>
    <row r="450" spans="1:26" ht="18.75" customHeight="1">
      <c r="A450" s="46"/>
      <c r="B450" s="46"/>
      <c r="C450" s="46"/>
      <c r="D450" s="46"/>
      <c r="E450" s="46"/>
      <c r="F450" s="46"/>
      <c r="G450" s="46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</row>
    <row r="451" spans="1:26" ht="18.75" customHeight="1">
      <c r="A451" s="46"/>
      <c r="B451" s="46"/>
      <c r="C451" s="46"/>
      <c r="D451" s="46"/>
      <c r="E451" s="46"/>
      <c r="F451" s="46"/>
      <c r="G451" s="46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</row>
    <row r="452" spans="1:26" ht="18.75" customHeight="1">
      <c r="A452" s="46"/>
      <c r="B452" s="46"/>
      <c r="C452" s="46"/>
      <c r="D452" s="46"/>
      <c r="E452" s="46"/>
      <c r="F452" s="46"/>
      <c r="G452" s="46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</row>
    <row r="453" spans="1:26" ht="18.75" customHeight="1">
      <c r="A453" s="46"/>
      <c r="B453" s="46"/>
      <c r="C453" s="46"/>
      <c r="D453" s="46"/>
      <c r="E453" s="46"/>
      <c r="F453" s="46"/>
      <c r="G453" s="46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</row>
    <row r="454" spans="1:26" ht="18.75" customHeight="1">
      <c r="A454" s="46"/>
      <c r="B454" s="46"/>
      <c r="C454" s="46"/>
      <c r="D454" s="46"/>
      <c r="E454" s="46"/>
      <c r="F454" s="46"/>
      <c r="G454" s="46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</row>
    <row r="455" spans="1:26" ht="18.75" customHeight="1">
      <c r="A455" s="46"/>
      <c r="B455" s="46"/>
      <c r="C455" s="46"/>
      <c r="D455" s="46"/>
      <c r="E455" s="46"/>
      <c r="F455" s="46"/>
      <c r="G455" s="46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</row>
    <row r="456" spans="1:26" ht="18.75" customHeight="1">
      <c r="A456" s="46"/>
      <c r="B456" s="46"/>
      <c r="C456" s="46"/>
      <c r="D456" s="46"/>
      <c r="E456" s="46"/>
      <c r="F456" s="46"/>
      <c r="G456" s="46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</row>
    <row r="457" spans="1:26" ht="18.75" customHeight="1">
      <c r="A457" s="46"/>
      <c r="B457" s="46"/>
      <c r="C457" s="46"/>
      <c r="D457" s="46"/>
      <c r="E457" s="46"/>
      <c r="F457" s="46"/>
      <c r="G457" s="46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</row>
    <row r="458" spans="1:26" ht="18.75" customHeight="1">
      <c r="A458" s="46"/>
      <c r="B458" s="46"/>
      <c r="C458" s="46"/>
      <c r="D458" s="46"/>
      <c r="E458" s="46"/>
      <c r="F458" s="46"/>
      <c r="G458" s="46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</row>
    <row r="459" spans="1:26" ht="18.75" customHeight="1">
      <c r="A459" s="46"/>
      <c r="B459" s="46"/>
      <c r="C459" s="46"/>
      <c r="D459" s="46"/>
      <c r="E459" s="46"/>
      <c r="F459" s="46"/>
      <c r="G459" s="46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</row>
    <row r="460" spans="1:26" ht="18.75" customHeight="1">
      <c r="A460" s="46"/>
      <c r="B460" s="46"/>
      <c r="C460" s="46"/>
      <c r="D460" s="46"/>
      <c r="E460" s="46"/>
      <c r="F460" s="46"/>
      <c r="G460" s="46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</row>
    <row r="461" spans="1:26" ht="18.75" customHeight="1">
      <c r="A461" s="46"/>
      <c r="B461" s="46"/>
      <c r="C461" s="46"/>
      <c r="D461" s="46"/>
      <c r="E461" s="46"/>
      <c r="F461" s="46"/>
      <c r="G461" s="46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</row>
    <row r="462" spans="1:26" ht="18.75" customHeight="1">
      <c r="A462" s="46"/>
      <c r="B462" s="46"/>
      <c r="C462" s="46"/>
      <c r="D462" s="46"/>
      <c r="E462" s="46"/>
      <c r="F462" s="46"/>
      <c r="G462" s="46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</row>
    <row r="463" spans="1:26" ht="18.75" customHeight="1">
      <c r="A463" s="46"/>
      <c r="B463" s="46"/>
      <c r="C463" s="46"/>
      <c r="D463" s="46"/>
      <c r="E463" s="46"/>
      <c r="F463" s="46"/>
      <c r="G463" s="46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</row>
    <row r="464" spans="1:26" ht="18.75" customHeight="1">
      <c r="A464" s="46"/>
      <c r="B464" s="46"/>
      <c r="C464" s="46"/>
      <c r="D464" s="46"/>
      <c r="E464" s="46"/>
      <c r="F464" s="46"/>
      <c r="G464" s="46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</row>
    <row r="465" spans="1:26" ht="18.75" customHeight="1">
      <c r="A465" s="46"/>
      <c r="B465" s="46"/>
      <c r="C465" s="46"/>
      <c r="D465" s="46"/>
      <c r="E465" s="46"/>
      <c r="F465" s="46"/>
      <c r="G465" s="46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</row>
    <row r="466" spans="1:26" ht="18.75" customHeight="1">
      <c r="A466" s="46"/>
      <c r="B466" s="46"/>
      <c r="C466" s="46"/>
      <c r="D466" s="46"/>
      <c r="E466" s="46"/>
      <c r="F466" s="46"/>
      <c r="G466" s="46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</row>
    <row r="467" spans="1:26" ht="18.75" customHeight="1">
      <c r="A467" s="46"/>
      <c r="B467" s="46"/>
      <c r="C467" s="46"/>
      <c r="D467" s="46"/>
      <c r="E467" s="46"/>
      <c r="F467" s="46"/>
      <c r="G467" s="46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</row>
    <row r="468" spans="1:26" ht="18.75" customHeight="1">
      <c r="A468" s="46"/>
      <c r="B468" s="46"/>
      <c r="C468" s="46"/>
      <c r="D468" s="46"/>
      <c r="E468" s="46"/>
      <c r="F468" s="46"/>
      <c r="G468" s="46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</row>
    <row r="469" spans="1:26" ht="18.75" customHeight="1">
      <c r="A469" s="46"/>
      <c r="B469" s="46"/>
      <c r="C469" s="46"/>
      <c r="D469" s="46"/>
      <c r="E469" s="46"/>
      <c r="F469" s="46"/>
      <c r="G469" s="46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</row>
    <row r="470" spans="1:26" ht="18.75" customHeight="1">
      <c r="A470" s="46"/>
      <c r="B470" s="46"/>
      <c r="C470" s="46"/>
      <c r="D470" s="46"/>
      <c r="E470" s="46"/>
      <c r="F470" s="46"/>
      <c r="G470" s="46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</row>
    <row r="471" spans="1:26" ht="18.75" customHeight="1">
      <c r="A471" s="46"/>
      <c r="B471" s="46"/>
      <c r="C471" s="46"/>
      <c r="D471" s="46"/>
      <c r="E471" s="46"/>
      <c r="F471" s="46"/>
      <c r="G471" s="46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</row>
    <row r="472" spans="1:26" ht="18.75" customHeight="1">
      <c r="A472" s="46"/>
      <c r="B472" s="46"/>
      <c r="C472" s="46"/>
      <c r="D472" s="46"/>
      <c r="E472" s="46"/>
      <c r="F472" s="46"/>
      <c r="G472" s="46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</row>
    <row r="473" spans="1:26" ht="18.75" customHeight="1">
      <c r="A473" s="46"/>
      <c r="B473" s="46"/>
      <c r="C473" s="46"/>
      <c r="D473" s="46"/>
      <c r="E473" s="46"/>
      <c r="F473" s="46"/>
      <c r="G473" s="46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</row>
    <row r="474" spans="1:26" ht="18.75" customHeight="1">
      <c r="A474" s="46"/>
      <c r="B474" s="46"/>
      <c r="C474" s="46"/>
      <c r="D474" s="46"/>
      <c r="E474" s="46"/>
      <c r="F474" s="46"/>
      <c r="G474" s="46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</row>
    <row r="475" spans="1:26" ht="18.75" customHeight="1">
      <c r="A475" s="46"/>
      <c r="B475" s="46"/>
      <c r="C475" s="46"/>
      <c r="D475" s="46"/>
      <c r="E475" s="46"/>
      <c r="F475" s="46"/>
      <c r="G475" s="46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</row>
    <row r="476" spans="1:26" ht="18.75" customHeight="1">
      <c r="A476" s="46"/>
      <c r="B476" s="46"/>
      <c r="C476" s="46"/>
      <c r="D476" s="46"/>
      <c r="E476" s="46"/>
      <c r="F476" s="46"/>
      <c r="G476" s="46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</row>
    <row r="477" spans="1:26" ht="18.75" customHeight="1">
      <c r="A477" s="46"/>
      <c r="B477" s="46"/>
      <c r="C477" s="46"/>
      <c r="D477" s="46"/>
      <c r="E477" s="46"/>
      <c r="F477" s="46"/>
      <c r="G477" s="46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</row>
    <row r="478" spans="1:26" ht="18.75" customHeight="1">
      <c r="A478" s="46"/>
      <c r="B478" s="46"/>
      <c r="C478" s="46"/>
      <c r="D478" s="46"/>
      <c r="E478" s="46"/>
      <c r="F478" s="46"/>
      <c r="G478" s="46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</row>
    <row r="479" spans="1:26" ht="18.75" customHeight="1">
      <c r="A479" s="46"/>
      <c r="B479" s="46"/>
      <c r="C479" s="46"/>
      <c r="D479" s="46"/>
      <c r="E479" s="46"/>
      <c r="F479" s="46"/>
      <c r="G479" s="46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</row>
    <row r="480" spans="1:26" ht="18.75" customHeight="1">
      <c r="A480" s="46"/>
      <c r="B480" s="46"/>
      <c r="C480" s="46"/>
      <c r="D480" s="46"/>
      <c r="E480" s="46"/>
      <c r="F480" s="46"/>
      <c r="G480" s="46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</row>
    <row r="481" spans="1:26" ht="18.75" customHeight="1">
      <c r="A481" s="46"/>
      <c r="B481" s="46"/>
      <c r="C481" s="46"/>
      <c r="D481" s="46"/>
      <c r="E481" s="46"/>
      <c r="F481" s="46"/>
      <c r="G481" s="46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</row>
    <row r="482" spans="1:26" ht="18.75" customHeight="1">
      <c r="A482" s="46"/>
      <c r="B482" s="46"/>
      <c r="C482" s="46"/>
      <c r="D482" s="46"/>
      <c r="E482" s="46"/>
      <c r="F482" s="46"/>
      <c r="G482" s="46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</row>
    <row r="483" spans="1:26" ht="18.75" customHeight="1">
      <c r="A483" s="46"/>
      <c r="B483" s="46"/>
      <c r="C483" s="46"/>
      <c r="D483" s="46"/>
      <c r="E483" s="46"/>
      <c r="F483" s="46"/>
      <c r="G483" s="46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</row>
    <row r="484" spans="1:26" ht="18.75" customHeight="1">
      <c r="A484" s="46"/>
      <c r="B484" s="46"/>
      <c r="C484" s="46"/>
      <c r="D484" s="46"/>
      <c r="E484" s="46"/>
      <c r="F484" s="46"/>
      <c r="G484" s="46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</row>
    <row r="485" spans="1:26" ht="18.75" customHeight="1">
      <c r="A485" s="46"/>
      <c r="B485" s="46"/>
      <c r="C485" s="46"/>
      <c r="D485" s="46"/>
      <c r="E485" s="46"/>
      <c r="F485" s="46"/>
      <c r="G485" s="46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</row>
    <row r="486" spans="1:26" ht="18.75" customHeight="1">
      <c r="A486" s="46"/>
      <c r="B486" s="46"/>
      <c r="C486" s="46"/>
      <c r="D486" s="46"/>
      <c r="E486" s="46"/>
      <c r="F486" s="46"/>
      <c r="G486" s="46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</row>
    <row r="487" spans="1:26" ht="18.75" customHeight="1">
      <c r="A487" s="46"/>
      <c r="B487" s="46"/>
      <c r="C487" s="46"/>
      <c r="D487" s="46"/>
      <c r="E487" s="46"/>
      <c r="F487" s="46"/>
      <c r="G487" s="46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</row>
    <row r="488" spans="1:26" ht="18.75" customHeight="1">
      <c r="A488" s="46"/>
      <c r="B488" s="46"/>
      <c r="C488" s="46"/>
      <c r="D488" s="46"/>
      <c r="E488" s="46"/>
      <c r="F488" s="46"/>
      <c r="G488" s="46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</row>
    <row r="489" spans="1:26" ht="18.75" customHeight="1">
      <c r="A489" s="46"/>
      <c r="B489" s="46"/>
      <c r="C489" s="46"/>
      <c r="D489" s="46"/>
      <c r="E489" s="46"/>
      <c r="F489" s="46"/>
      <c r="G489" s="46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</row>
    <row r="490" spans="1:26" ht="18.75" customHeight="1">
      <c r="A490" s="46"/>
      <c r="B490" s="46"/>
      <c r="C490" s="46"/>
      <c r="D490" s="46"/>
      <c r="E490" s="46"/>
      <c r="F490" s="46"/>
      <c r="G490" s="46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</row>
    <row r="491" spans="1:26" ht="18.75" customHeight="1">
      <c r="A491" s="46"/>
      <c r="B491" s="46"/>
      <c r="C491" s="46"/>
      <c r="D491" s="46"/>
      <c r="E491" s="46"/>
      <c r="F491" s="46"/>
      <c r="G491" s="46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</row>
    <row r="492" spans="1:26" ht="18.75" customHeight="1">
      <c r="A492" s="46"/>
      <c r="B492" s="46"/>
      <c r="C492" s="46"/>
      <c r="D492" s="46"/>
      <c r="E492" s="46"/>
      <c r="F492" s="46"/>
      <c r="G492" s="46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</row>
    <row r="493" spans="1:26" ht="18.75" customHeight="1">
      <c r="A493" s="46"/>
      <c r="B493" s="46"/>
      <c r="C493" s="46"/>
      <c r="D493" s="46"/>
      <c r="E493" s="46"/>
      <c r="F493" s="46"/>
      <c r="G493" s="46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</row>
    <row r="494" spans="1:26" ht="18.75" customHeight="1">
      <c r="A494" s="46"/>
      <c r="B494" s="46"/>
      <c r="C494" s="46"/>
      <c r="D494" s="46"/>
      <c r="E494" s="46"/>
      <c r="F494" s="46"/>
      <c r="G494" s="46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</row>
    <row r="495" spans="1:26" ht="18.75" customHeight="1">
      <c r="A495" s="46"/>
      <c r="B495" s="46"/>
      <c r="C495" s="46"/>
      <c r="D495" s="46"/>
      <c r="E495" s="46"/>
      <c r="F495" s="46"/>
      <c r="G495" s="46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</row>
    <row r="496" spans="1:26" ht="18.75" customHeight="1">
      <c r="A496" s="46"/>
      <c r="B496" s="46"/>
      <c r="C496" s="46"/>
      <c r="D496" s="46"/>
      <c r="E496" s="46"/>
      <c r="F496" s="46"/>
      <c r="G496" s="46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</row>
    <row r="497" spans="1:26" ht="18.75" customHeight="1">
      <c r="A497" s="46"/>
      <c r="B497" s="46"/>
      <c r="C497" s="46"/>
      <c r="D497" s="46"/>
      <c r="E497" s="46"/>
      <c r="F497" s="46"/>
      <c r="G497" s="46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</row>
    <row r="498" spans="1:26" ht="18.75" customHeight="1">
      <c r="A498" s="46"/>
      <c r="B498" s="46"/>
      <c r="C498" s="46"/>
      <c r="D498" s="46"/>
      <c r="E498" s="46"/>
      <c r="F498" s="46"/>
      <c r="G498" s="46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</row>
    <row r="499" spans="1:26" ht="18.75" customHeight="1">
      <c r="A499" s="46"/>
      <c r="B499" s="46"/>
      <c r="C499" s="46"/>
      <c r="D499" s="46"/>
      <c r="E499" s="46"/>
      <c r="F499" s="46"/>
      <c r="G499" s="46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</row>
    <row r="500" spans="1:26" ht="18.75" customHeight="1">
      <c r="A500" s="46"/>
      <c r="B500" s="46"/>
      <c r="C500" s="46"/>
      <c r="D500" s="46"/>
      <c r="E500" s="46"/>
      <c r="F500" s="46"/>
      <c r="G500" s="46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</row>
    <row r="501" spans="1:26" ht="18.75" customHeight="1">
      <c r="A501" s="46"/>
      <c r="B501" s="46"/>
      <c r="C501" s="46"/>
      <c r="D501" s="46"/>
      <c r="E501" s="46"/>
      <c r="F501" s="46"/>
      <c r="G501" s="46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</row>
    <row r="502" spans="1:26" ht="18.75" customHeight="1">
      <c r="A502" s="46"/>
      <c r="B502" s="46"/>
      <c r="C502" s="46"/>
      <c r="D502" s="46"/>
      <c r="E502" s="46"/>
      <c r="F502" s="46"/>
      <c r="G502" s="46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</row>
    <row r="503" spans="1:26" ht="18.75" customHeight="1">
      <c r="A503" s="46"/>
      <c r="B503" s="46"/>
      <c r="C503" s="46"/>
      <c r="D503" s="46"/>
      <c r="E503" s="46"/>
      <c r="F503" s="46"/>
      <c r="G503" s="46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</row>
    <row r="504" spans="1:26" ht="18.75" customHeight="1">
      <c r="A504" s="46"/>
      <c r="B504" s="46"/>
      <c r="C504" s="46"/>
      <c r="D504" s="46"/>
      <c r="E504" s="46"/>
      <c r="F504" s="46"/>
      <c r="G504" s="46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</row>
    <row r="505" spans="1:26" ht="18.75" customHeight="1">
      <c r="A505" s="46"/>
      <c r="B505" s="46"/>
      <c r="C505" s="46"/>
      <c r="D505" s="46"/>
      <c r="E505" s="46"/>
      <c r="F505" s="46"/>
      <c r="G505" s="46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</row>
    <row r="506" spans="1:26" ht="18.75" customHeight="1">
      <c r="A506" s="46"/>
      <c r="B506" s="46"/>
      <c r="C506" s="46"/>
      <c r="D506" s="46"/>
      <c r="E506" s="46"/>
      <c r="F506" s="46"/>
      <c r="G506" s="46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</row>
    <row r="507" spans="1:26" ht="18.75" customHeight="1">
      <c r="A507" s="46"/>
      <c r="B507" s="46"/>
      <c r="C507" s="46"/>
      <c r="D507" s="46"/>
      <c r="E507" s="46"/>
      <c r="F507" s="46"/>
      <c r="G507" s="46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</row>
    <row r="508" spans="1:26" ht="18.75" customHeight="1">
      <c r="A508" s="46"/>
      <c r="B508" s="46"/>
      <c r="C508" s="46"/>
      <c r="D508" s="46"/>
      <c r="E508" s="46"/>
      <c r="F508" s="46"/>
      <c r="G508" s="46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</row>
    <row r="509" spans="1:26" ht="18.75" customHeight="1">
      <c r="A509" s="46"/>
      <c r="B509" s="46"/>
      <c r="C509" s="46"/>
      <c r="D509" s="46"/>
      <c r="E509" s="46"/>
      <c r="F509" s="46"/>
      <c r="G509" s="46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</row>
    <row r="510" spans="1:26" ht="18.75" customHeight="1">
      <c r="A510" s="46"/>
      <c r="B510" s="46"/>
      <c r="C510" s="46"/>
      <c r="D510" s="46"/>
      <c r="E510" s="46"/>
      <c r="F510" s="46"/>
      <c r="G510" s="46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</row>
    <row r="511" spans="1:26" ht="18.75" customHeight="1">
      <c r="A511" s="46"/>
      <c r="B511" s="46"/>
      <c r="C511" s="46"/>
      <c r="D511" s="46"/>
      <c r="E511" s="46"/>
      <c r="F511" s="46"/>
      <c r="G511" s="46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</row>
    <row r="512" spans="1:26" ht="18.75" customHeight="1">
      <c r="A512" s="46"/>
      <c r="B512" s="46"/>
      <c r="C512" s="46"/>
      <c r="D512" s="46"/>
      <c r="E512" s="46"/>
      <c r="F512" s="46"/>
      <c r="G512" s="46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</row>
    <row r="513" spans="1:26" ht="18.75" customHeight="1">
      <c r="A513" s="46"/>
      <c r="B513" s="46"/>
      <c r="C513" s="46"/>
      <c r="D513" s="46"/>
      <c r="E513" s="46"/>
      <c r="F513" s="46"/>
      <c r="G513" s="46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</row>
    <row r="514" spans="1:26" ht="18.75" customHeight="1">
      <c r="A514" s="46"/>
      <c r="B514" s="46"/>
      <c r="C514" s="46"/>
      <c r="D514" s="46"/>
      <c r="E514" s="46"/>
      <c r="F514" s="46"/>
      <c r="G514" s="46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</row>
    <row r="515" spans="1:26" ht="18.75" customHeight="1">
      <c r="A515" s="46"/>
      <c r="B515" s="46"/>
      <c r="C515" s="46"/>
      <c r="D515" s="46"/>
      <c r="E515" s="46"/>
      <c r="F515" s="46"/>
      <c r="G515" s="46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</row>
    <row r="516" spans="1:26" ht="18.75" customHeight="1">
      <c r="A516" s="46"/>
      <c r="B516" s="46"/>
      <c r="C516" s="46"/>
      <c r="D516" s="46"/>
      <c r="E516" s="46"/>
      <c r="F516" s="46"/>
      <c r="G516" s="46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</row>
    <row r="517" spans="1:26" ht="18.75" customHeight="1">
      <c r="A517" s="46"/>
      <c r="B517" s="46"/>
      <c r="C517" s="46"/>
      <c r="D517" s="46"/>
      <c r="E517" s="46"/>
      <c r="F517" s="46"/>
      <c r="G517" s="46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</row>
    <row r="518" spans="1:26" ht="18.75" customHeight="1">
      <c r="A518" s="46"/>
      <c r="B518" s="46"/>
      <c r="C518" s="46"/>
      <c r="D518" s="46"/>
      <c r="E518" s="46"/>
      <c r="F518" s="46"/>
      <c r="G518" s="46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</row>
    <row r="519" spans="1:26" ht="18.75" customHeight="1">
      <c r="A519" s="46"/>
      <c r="B519" s="46"/>
      <c r="C519" s="46"/>
      <c r="D519" s="46"/>
      <c r="E519" s="46"/>
      <c r="F519" s="46"/>
      <c r="G519" s="46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</row>
    <row r="520" spans="1:26" ht="18.75" customHeight="1">
      <c r="A520" s="46"/>
      <c r="B520" s="46"/>
      <c r="C520" s="46"/>
      <c r="D520" s="46"/>
      <c r="E520" s="46"/>
      <c r="F520" s="46"/>
      <c r="G520" s="46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</row>
    <row r="521" spans="1:26" ht="18.75" customHeight="1">
      <c r="A521" s="46"/>
      <c r="B521" s="46"/>
      <c r="C521" s="46"/>
      <c r="D521" s="46"/>
      <c r="E521" s="46"/>
      <c r="F521" s="46"/>
      <c r="G521" s="46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</row>
    <row r="522" spans="1:26" ht="18.75" customHeight="1">
      <c r="A522" s="46"/>
      <c r="B522" s="46"/>
      <c r="C522" s="46"/>
      <c r="D522" s="46"/>
      <c r="E522" s="46"/>
      <c r="F522" s="46"/>
      <c r="G522" s="46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</row>
    <row r="523" spans="1:26" ht="18.75" customHeight="1">
      <c r="A523" s="46"/>
      <c r="B523" s="46"/>
      <c r="C523" s="46"/>
      <c r="D523" s="46"/>
      <c r="E523" s="46"/>
      <c r="F523" s="46"/>
      <c r="G523" s="46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</row>
    <row r="524" spans="1:26" ht="18.75" customHeight="1">
      <c r="A524" s="46"/>
      <c r="B524" s="46"/>
      <c r="C524" s="46"/>
      <c r="D524" s="46"/>
      <c r="E524" s="46"/>
      <c r="F524" s="46"/>
      <c r="G524" s="46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</row>
    <row r="525" spans="1:26" ht="18.75" customHeight="1">
      <c r="A525" s="46"/>
      <c r="B525" s="46"/>
      <c r="C525" s="46"/>
      <c r="D525" s="46"/>
      <c r="E525" s="46"/>
      <c r="F525" s="46"/>
      <c r="G525" s="46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</row>
    <row r="526" spans="1:26" ht="18.75" customHeight="1">
      <c r="A526" s="46"/>
      <c r="B526" s="46"/>
      <c r="C526" s="46"/>
      <c r="D526" s="46"/>
      <c r="E526" s="46"/>
      <c r="F526" s="46"/>
      <c r="G526" s="46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</row>
    <row r="527" spans="1:26" ht="18.75" customHeight="1">
      <c r="A527" s="46"/>
      <c r="B527" s="46"/>
      <c r="C527" s="46"/>
      <c r="D527" s="46"/>
      <c r="E527" s="46"/>
      <c r="F527" s="46"/>
      <c r="G527" s="46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</row>
    <row r="528" spans="1:26" ht="18.75" customHeight="1">
      <c r="A528" s="46"/>
      <c r="B528" s="46"/>
      <c r="C528" s="46"/>
      <c r="D528" s="46"/>
      <c r="E528" s="46"/>
      <c r="F528" s="46"/>
      <c r="G528" s="46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</row>
    <row r="529" spans="1:26" ht="18.75" customHeight="1">
      <c r="A529" s="46"/>
      <c r="B529" s="46"/>
      <c r="C529" s="46"/>
      <c r="D529" s="46"/>
      <c r="E529" s="46"/>
      <c r="F529" s="46"/>
      <c r="G529" s="46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</row>
    <row r="530" spans="1:26" ht="18.75" customHeight="1">
      <c r="A530" s="46"/>
      <c r="B530" s="46"/>
      <c r="C530" s="46"/>
      <c r="D530" s="46"/>
      <c r="E530" s="46"/>
      <c r="F530" s="46"/>
      <c r="G530" s="46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</row>
    <row r="531" spans="1:26" ht="18.75" customHeight="1">
      <c r="A531" s="46"/>
      <c r="B531" s="46"/>
      <c r="C531" s="46"/>
      <c r="D531" s="46"/>
      <c r="E531" s="46"/>
      <c r="F531" s="46"/>
      <c r="G531" s="46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</row>
    <row r="532" spans="1:26" ht="18.75" customHeight="1">
      <c r="A532" s="46"/>
      <c r="B532" s="46"/>
      <c r="C532" s="46"/>
      <c r="D532" s="46"/>
      <c r="E532" s="46"/>
      <c r="F532" s="46"/>
      <c r="G532" s="46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</row>
    <row r="533" spans="1:26" ht="18.75" customHeight="1">
      <c r="A533" s="46"/>
      <c r="B533" s="46"/>
      <c r="C533" s="46"/>
      <c r="D533" s="46"/>
      <c r="E533" s="46"/>
      <c r="F533" s="46"/>
      <c r="G533" s="46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</row>
    <row r="534" spans="1:26" ht="18.75" customHeight="1">
      <c r="A534" s="46"/>
      <c r="B534" s="46"/>
      <c r="C534" s="46"/>
      <c r="D534" s="46"/>
      <c r="E534" s="46"/>
      <c r="F534" s="46"/>
      <c r="G534" s="46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</row>
    <row r="535" spans="1:26" ht="18.75" customHeight="1">
      <c r="A535" s="46"/>
      <c r="B535" s="46"/>
      <c r="C535" s="46"/>
      <c r="D535" s="46"/>
      <c r="E535" s="46"/>
      <c r="F535" s="46"/>
      <c r="G535" s="46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</row>
    <row r="536" spans="1:26" ht="18.75" customHeight="1">
      <c r="A536" s="46"/>
      <c r="B536" s="46"/>
      <c r="C536" s="46"/>
      <c r="D536" s="46"/>
      <c r="E536" s="46"/>
      <c r="F536" s="46"/>
      <c r="G536" s="46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</row>
    <row r="537" spans="1:26" ht="18.75" customHeight="1">
      <c r="A537" s="46"/>
      <c r="B537" s="46"/>
      <c r="C537" s="46"/>
      <c r="D537" s="46"/>
      <c r="E537" s="46"/>
      <c r="F537" s="46"/>
      <c r="G537" s="46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</row>
    <row r="538" spans="1:26" ht="18.75" customHeight="1">
      <c r="A538" s="46"/>
      <c r="B538" s="46"/>
      <c r="C538" s="46"/>
      <c r="D538" s="46"/>
      <c r="E538" s="46"/>
      <c r="F538" s="46"/>
      <c r="G538" s="46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</row>
    <row r="539" spans="1:26" ht="18.75" customHeight="1">
      <c r="A539" s="46"/>
      <c r="B539" s="46"/>
      <c r="C539" s="46"/>
      <c r="D539" s="46"/>
      <c r="E539" s="46"/>
      <c r="F539" s="46"/>
      <c r="G539" s="46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</row>
    <row r="540" spans="1:26" ht="18.75" customHeight="1">
      <c r="A540" s="46"/>
      <c r="B540" s="46"/>
      <c r="C540" s="46"/>
      <c r="D540" s="46"/>
      <c r="E540" s="46"/>
      <c r="F540" s="46"/>
      <c r="G540" s="46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</row>
    <row r="541" spans="1:26" ht="18.75" customHeight="1">
      <c r="A541" s="46"/>
      <c r="B541" s="46"/>
      <c r="C541" s="46"/>
      <c r="D541" s="46"/>
      <c r="E541" s="46"/>
      <c r="F541" s="46"/>
      <c r="G541" s="46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</row>
    <row r="542" spans="1:26" ht="18.75" customHeight="1">
      <c r="A542" s="46"/>
      <c r="B542" s="46"/>
      <c r="C542" s="46"/>
      <c r="D542" s="46"/>
      <c r="E542" s="46"/>
      <c r="F542" s="46"/>
      <c r="G542" s="46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</row>
    <row r="543" spans="1:26" ht="18.75" customHeight="1">
      <c r="A543" s="46"/>
      <c r="B543" s="46"/>
      <c r="C543" s="46"/>
      <c r="D543" s="46"/>
      <c r="E543" s="46"/>
      <c r="F543" s="46"/>
      <c r="G543" s="46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</row>
    <row r="544" spans="1:26" ht="18.75" customHeight="1">
      <c r="A544" s="46"/>
      <c r="B544" s="46"/>
      <c r="C544" s="46"/>
      <c r="D544" s="46"/>
      <c r="E544" s="46"/>
      <c r="F544" s="46"/>
      <c r="G544" s="46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</row>
    <row r="545" spans="1:26" ht="18.75" customHeight="1">
      <c r="A545" s="46"/>
      <c r="B545" s="46"/>
      <c r="C545" s="46"/>
      <c r="D545" s="46"/>
      <c r="E545" s="46"/>
      <c r="F545" s="46"/>
      <c r="G545" s="46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</row>
    <row r="546" spans="1:26" ht="18.75" customHeight="1">
      <c r="A546" s="46"/>
      <c r="B546" s="46"/>
      <c r="C546" s="46"/>
      <c r="D546" s="46"/>
      <c r="E546" s="46"/>
      <c r="F546" s="46"/>
      <c r="G546" s="46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</row>
    <row r="547" spans="1:26" ht="18.75" customHeight="1">
      <c r="A547" s="46"/>
      <c r="B547" s="46"/>
      <c r="C547" s="46"/>
      <c r="D547" s="46"/>
      <c r="E547" s="46"/>
      <c r="F547" s="46"/>
      <c r="G547" s="46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</row>
    <row r="548" spans="1:26" ht="18.75" customHeight="1">
      <c r="A548" s="46"/>
      <c r="B548" s="46"/>
      <c r="C548" s="46"/>
      <c r="D548" s="46"/>
      <c r="E548" s="46"/>
      <c r="F548" s="46"/>
      <c r="G548" s="46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</row>
    <row r="549" spans="1:26" ht="18.75" customHeight="1">
      <c r="A549" s="46"/>
      <c r="B549" s="46"/>
      <c r="C549" s="46"/>
      <c r="D549" s="46"/>
      <c r="E549" s="46"/>
      <c r="F549" s="46"/>
      <c r="G549" s="46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</row>
    <row r="550" spans="1:26" ht="18.75" customHeight="1">
      <c r="A550" s="46"/>
      <c r="B550" s="46"/>
      <c r="C550" s="46"/>
      <c r="D550" s="46"/>
      <c r="E550" s="46"/>
      <c r="F550" s="46"/>
      <c r="G550" s="46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</row>
    <row r="551" spans="1:26" ht="18.75" customHeight="1">
      <c r="A551" s="46"/>
      <c r="B551" s="46"/>
      <c r="C551" s="46"/>
      <c r="D551" s="46"/>
      <c r="E551" s="46"/>
      <c r="F551" s="46"/>
      <c r="G551" s="46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</row>
    <row r="552" spans="1:26" ht="18.75" customHeight="1">
      <c r="A552" s="46"/>
      <c r="B552" s="46"/>
      <c r="C552" s="46"/>
      <c r="D552" s="46"/>
      <c r="E552" s="46"/>
      <c r="F552" s="46"/>
      <c r="G552" s="46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</row>
    <row r="553" spans="1:26" ht="18.75" customHeight="1">
      <c r="A553" s="46"/>
      <c r="B553" s="46"/>
      <c r="C553" s="46"/>
      <c r="D553" s="46"/>
      <c r="E553" s="46"/>
      <c r="F553" s="46"/>
      <c r="G553" s="46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</row>
    <row r="554" spans="1:26" ht="18.75" customHeight="1">
      <c r="A554" s="46"/>
      <c r="B554" s="46"/>
      <c r="C554" s="46"/>
      <c r="D554" s="46"/>
      <c r="E554" s="46"/>
      <c r="F554" s="46"/>
      <c r="G554" s="46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</row>
    <row r="555" spans="1:26" ht="18.75" customHeight="1">
      <c r="A555" s="46"/>
      <c r="B555" s="46"/>
      <c r="C555" s="46"/>
      <c r="D555" s="46"/>
      <c r="E555" s="46"/>
      <c r="F555" s="46"/>
      <c r="G555" s="46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</row>
    <row r="556" spans="1:26" ht="18.75" customHeight="1">
      <c r="A556" s="46"/>
      <c r="B556" s="46"/>
      <c r="C556" s="46"/>
      <c r="D556" s="46"/>
      <c r="E556" s="46"/>
      <c r="F556" s="46"/>
      <c r="G556" s="46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</row>
    <row r="557" spans="1:26" ht="18.75" customHeight="1">
      <c r="A557" s="46"/>
      <c r="B557" s="46"/>
      <c r="C557" s="46"/>
      <c r="D557" s="46"/>
      <c r="E557" s="46"/>
      <c r="F557" s="46"/>
      <c r="G557" s="46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</row>
    <row r="558" spans="1:26" ht="18.75" customHeight="1">
      <c r="A558" s="46"/>
      <c r="B558" s="46"/>
      <c r="C558" s="46"/>
      <c r="D558" s="46"/>
      <c r="E558" s="46"/>
      <c r="F558" s="46"/>
      <c r="G558" s="46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</row>
    <row r="559" spans="1:26" ht="18.75" customHeight="1">
      <c r="A559" s="46"/>
      <c r="B559" s="46"/>
      <c r="C559" s="46"/>
      <c r="D559" s="46"/>
      <c r="E559" s="46"/>
      <c r="F559" s="46"/>
      <c r="G559" s="46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</row>
    <row r="560" spans="1:26" ht="18.75" customHeight="1">
      <c r="A560" s="46"/>
      <c r="B560" s="46"/>
      <c r="C560" s="46"/>
      <c r="D560" s="46"/>
      <c r="E560" s="46"/>
      <c r="F560" s="46"/>
      <c r="G560" s="46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</row>
    <row r="561" spans="1:26" ht="18.75" customHeight="1">
      <c r="A561" s="46"/>
      <c r="B561" s="46"/>
      <c r="C561" s="46"/>
      <c r="D561" s="46"/>
      <c r="E561" s="46"/>
      <c r="F561" s="46"/>
      <c r="G561" s="46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</row>
    <row r="562" spans="1:26" ht="18.75" customHeight="1">
      <c r="A562" s="46"/>
      <c r="B562" s="46"/>
      <c r="C562" s="46"/>
      <c r="D562" s="46"/>
      <c r="E562" s="46"/>
      <c r="F562" s="46"/>
      <c r="G562" s="46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</row>
    <row r="563" spans="1:26" ht="18.75" customHeight="1">
      <c r="A563" s="46"/>
      <c r="B563" s="46"/>
      <c r="C563" s="46"/>
      <c r="D563" s="46"/>
      <c r="E563" s="46"/>
      <c r="F563" s="46"/>
      <c r="G563" s="46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</row>
    <row r="564" spans="1:26" ht="18.75" customHeight="1">
      <c r="A564" s="46"/>
      <c r="B564" s="46"/>
      <c r="C564" s="46"/>
      <c r="D564" s="46"/>
      <c r="E564" s="46"/>
      <c r="F564" s="46"/>
      <c r="G564" s="46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</row>
    <row r="565" spans="1:26" ht="18.75" customHeight="1">
      <c r="A565" s="46"/>
      <c r="B565" s="46"/>
      <c r="C565" s="46"/>
      <c r="D565" s="46"/>
      <c r="E565" s="46"/>
      <c r="F565" s="46"/>
      <c r="G565" s="46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</row>
    <row r="566" spans="1:26" ht="18.75" customHeight="1">
      <c r="A566" s="46"/>
      <c r="B566" s="46"/>
      <c r="C566" s="46"/>
      <c r="D566" s="46"/>
      <c r="E566" s="46"/>
      <c r="F566" s="46"/>
      <c r="G566" s="46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</row>
    <row r="567" spans="1:26" ht="18.75" customHeight="1">
      <c r="A567" s="46"/>
      <c r="B567" s="46"/>
      <c r="C567" s="46"/>
      <c r="D567" s="46"/>
      <c r="E567" s="46"/>
      <c r="F567" s="46"/>
      <c r="G567" s="46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</row>
    <row r="568" spans="1:26" ht="18.75" customHeight="1">
      <c r="A568" s="46"/>
      <c r="B568" s="46"/>
      <c r="C568" s="46"/>
      <c r="D568" s="46"/>
      <c r="E568" s="46"/>
      <c r="F568" s="46"/>
      <c r="G568" s="46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</row>
    <row r="569" spans="1:26" ht="18.75" customHeight="1">
      <c r="A569" s="46"/>
      <c r="B569" s="46"/>
      <c r="C569" s="46"/>
      <c r="D569" s="46"/>
      <c r="E569" s="46"/>
      <c r="F569" s="46"/>
      <c r="G569" s="46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</row>
    <row r="570" spans="1:26" ht="18.75" customHeight="1">
      <c r="A570" s="46"/>
      <c r="B570" s="46"/>
      <c r="C570" s="46"/>
      <c r="D570" s="46"/>
      <c r="E570" s="46"/>
      <c r="F570" s="46"/>
      <c r="G570" s="46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</row>
    <row r="571" spans="1:26" ht="18.75" customHeight="1">
      <c r="A571" s="46"/>
      <c r="B571" s="46"/>
      <c r="C571" s="46"/>
      <c r="D571" s="46"/>
      <c r="E571" s="46"/>
      <c r="F571" s="46"/>
      <c r="G571" s="46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</row>
    <row r="572" spans="1:26" ht="18.75" customHeight="1">
      <c r="A572" s="46"/>
      <c r="B572" s="46"/>
      <c r="C572" s="46"/>
      <c r="D572" s="46"/>
      <c r="E572" s="46"/>
      <c r="F572" s="46"/>
      <c r="G572" s="46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</row>
    <row r="573" spans="1:26" ht="18.75" customHeight="1">
      <c r="A573" s="46"/>
      <c r="B573" s="46"/>
      <c r="C573" s="46"/>
      <c r="D573" s="46"/>
      <c r="E573" s="46"/>
      <c r="F573" s="46"/>
      <c r="G573" s="46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</row>
    <row r="574" spans="1:26" ht="18.75" customHeight="1">
      <c r="A574" s="46"/>
      <c r="B574" s="46"/>
      <c r="C574" s="46"/>
      <c r="D574" s="46"/>
      <c r="E574" s="46"/>
      <c r="F574" s="46"/>
      <c r="G574" s="46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</row>
    <row r="575" spans="1:26" ht="18.75" customHeight="1">
      <c r="A575" s="46"/>
      <c r="B575" s="46"/>
      <c r="C575" s="46"/>
      <c r="D575" s="46"/>
      <c r="E575" s="46"/>
      <c r="F575" s="46"/>
      <c r="G575" s="46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</row>
    <row r="576" spans="1:26" ht="18.75" customHeight="1">
      <c r="A576" s="46"/>
      <c r="B576" s="46"/>
      <c r="C576" s="46"/>
      <c r="D576" s="46"/>
      <c r="E576" s="46"/>
      <c r="F576" s="46"/>
      <c r="G576" s="46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</row>
    <row r="577" spans="1:26" ht="18.75" customHeight="1">
      <c r="A577" s="46"/>
      <c r="B577" s="46"/>
      <c r="C577" s="46"/>
      <c r="D577" s="46"/>
      <c r="E577" s="46"/>
      <c r="F577" s="46"/>
      <c r="G577" s="46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</row>
    <row r="578" spans="1:26" ht="18.75" customHeight="1">
      <c r="A578" s="46"/>
      <c r="B578" s="46"/>
      <c r="C578" s="46"/>
      <c r="D578" s="46"/>
      <c r="E578" s="46"/>
      <c r="F578" s="46"/>
      <c r="G578" s="46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</row>
    <row r="579" spans="1:26" ht="18.75" customHeight="1">
      <c r="A579" s="46"/>
      <c r="B579" s="46"/>
      <c r="C579" s="46"/>
      <c r="D579" s="46"/>
      <c r="E579" s="46"/>
      <c r="F579" s="46"/>
      <c r="G579" s="46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</row>
    <row r="580" spans="1:26" ht="18.75" customHeight="1">
      <c r="A580" s="46"/>
      <c r="B580" s="46"/>
      <c r="C580" s="46"/>
      <c r="D580" s="46"/>
      <c r="E580" s="46"/>
      <c r="F580" s="46"/>
      <c r="G580" s="46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</row>
    <row r="581" spans="1:26" ht="18.75" customHeight="1">
      <c r="A581" s="46"/>
      <c r="B581" s="46"/>
      <c r="C581" s="46"/>
      <c r="D581" s="46"/>
      <c r="E581" s="46"/>
      <c r="F581" s="46"/>
      <c r="G581" s="46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</row>
    <row r="582" spans="1:26" ht="18.75" customHeight="1">
      <c r="A582" s="46"/>
      <c r="B582" s="46"/>
      <c r="C582" s="46"/>
      <c r="D582" s="46"/>
      <c r="E582" s="46"/>
      <c r="F582" s="46"/>
      <c r="G582" s="46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</row>
    <row r="583" spans="1:26" ht="18.75" customHeight="1">
      <c r="A583" s="46"/>
      <c r="B583" s="46"/>
      <c r="C583" s="46"/>
      <c r="D583" s="46"/>
      <c r="E583" s="46"/>
      <c r="F583" s="46"/>
      <c r="G583" s="46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</row>
    <row r="584" spans="1:26" ht="18.75" customHeight="1">
      <c r="A584" s="46"/>
      <c r="B584" s="46"/>
      <c r="C584" s="46"/>
      <c r="D584" s="46"/>
      <c r="E584" s="46"/>
      <c r="F584" s="46"/>
      <c r="G584" s="46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</row>
    <row r="585" spans="1:26" ht="18.75" customHeight="1">
      <c r="A585" s="46"/>
      <c r="B585" s="46"/>
      <c r="C585" s="46"/>
      <c r="D585" s="46"/>
      <c r="E585" s="46"/>
      <c r="F585" s="46"/>
      <c r="G585" s="46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</row>
    <row r="586" spans="1:26" ht="18.75" customHeight="1">
      <c r="A586" s="46"/>
      <c r="B586" s="46"/>
      <c r="C586" s="46"/>
      <c r="D586" s="46"/>
      <c r="E586" s="46"/>
      <c r="F586" s="46"/>
      <c r="G586" s="46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</row>
    <row r="587" spans="1:26" ht="18.75" customHeight="1">
      <c r="A587" s="46"/>
      <c r="B587" s="46"/>
      <c r="C587" s="46"/>
      <c r="D587" s="46"/>
      <c r="E587" s="46"/>
      <c r="F587" s="46"/>
      <c r="G587" s="46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</row>
    <row r="588" spans="1:26" ht="18.75" customHeight="1">
      <c r="A588" s="46"/>
      <c r="B588" s="46"/>
      <c r="C588" s="46"/>
      <c r="D588" s="46"/>
      <c r="E588" s="46"/>
      <c r="F588" s="46"/>
      <c r="G588" s="46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</row>
    <row r="589" spans="1:26" ht="18.75" customHeight="1">
      <c r="A589" s="46"/>
      <c r="B589" s="46"/>
      <c r="C589" s="46"/>
      <c r="D589" s="46"/>
      <c r="E589" s="46"/>
      <c r="F589" s="46"/>
      <c r="G589" s="46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</row>
    <row r="590" spans="1:26" ht="18.75" customHeight="1">
      <c r="A590" s="46"/>
      <c r="B590" s="46"/>
      <c r="C590" s="46"/>
      <c r="D590" s="46"/>
      <c r="E590" s="46"/>
      <c r="F590" s="46"/>
      <c r="G590" s="46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</row>
    <row r="591" spans="1:26" ht="18.75" customHeight="1">
      <c r="A591" s="46"/>
      <c r="B591" s="46"/>
      <c r="C591" s="46"/>
      <c r="D591" s="46"/>
      <c r="E591" s="46"/>
      <c r="F591" s="46"/>
      <c r="G591" s="46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</row>
    <row r="592" spans="1:26" ht="18.75" customHeight="1">
      <c r="A592" s="46"/>
      <c r="B592" s="46"/>
      <c r="C592" s="46"/>
      <c r="D592" s="46"/>
      <c r="E592" s="46"/>
      <c r="F592" s="46"/>
      <c r="G592" s="46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</row>
    <row r="593" spans="1:26" ht="18.75" customHeight="1">
      <c r="A593" s="46"/>
      <c r="B593" s="46"/>
      <c r="C593" s="46"/>
      <c r="D593" s="46"/>
      <c r="E593" s="46"/>
      <c r="F593" s="46"/>
      <c r="G593" s="46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</row>
    <row r="594" spans="1:26" ht="18.75" customHeight="1">
      <c r="A594" s="46"/>
      <c r="B594" s="46"/>
      <c r="C594" s="46"/>
      <c r="D594" s="46"/>
      <c r="E594" s="46"/>
      <c r="F594" s="46"/>
      <c r="G594" s="46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</row>
    <row r="595" spans="1:26" ht="18.75" customHeight="1">
      <c r="A595" s="46"/>
      <c r="B595" s="46"/>
      <c r="C595" s="46"/>
      <c r="D595" s="46"/>
      <c r="E595" s="46"/>
      <c r="F595" s="46"/>
      <c r="G595" s="46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</row>
    <row r="596" spans="1:26" ht="18.75" customHeight="1">
      <c r="A596" s="46"/>
      <c r="B596" s="46"/>
      <c r="C596" s="46"/>
      <c r="D596" s="46"/>
      <c r="E596" s="46"/>
      <c r="F596" s="46"/>
      <c r="G596" s="46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</row>
    <row r="597" spans="1:26" ht="18.75" customHeight="1">
      <c r="A597" s="46"/>
      <c r="B597" s="46"/>
      <c r="C597" s="46"/>
      <c r="D597" s="46"/>
      <c r="E597" s="46"/>
      <c r="F597" s="46"/>
      <c r="G597" s="46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</row>
    <row r="598" spans="1:26" ht="18.75" customHeight="1">
      <c r="A598" s="46"/>
      <c r="B598" s="46"/>
      <c r="C598" s="46"/>
      <c r="D598" s="46"/>
      <c r="E598" s="46"/>
      <c r="F598" s="46"/>
      <c r="G598" s="46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</row>
    <row r="599" spans="1:26" ht="18.75" customHeight="1">
      <c r="A599" s="46"/>
      <c r="B599" s="46"/>
      <c r="C599" s="46"/>
      <c r="D599" s="46"/>
      <c r="E599" s="46"/>
      <c r="F599" s="46"/>
      <c r="G599" s="46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</row>
    <row r="600" spans="1:26" ht="18.75" customHeight="1">
      <c r="A600" s="46"/>
      <c r="B600" s="46"/>
      <c r="C600" s="46"/>
      <c r="D600" s="46"/>
      <c r="E600" s="46"/>
      <c r="F600" s="46"/>
      <c r="G600" s="46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</row>
    <row r="601" spans="1:26" ht="18.75" customHeight="1">
      <c r="A601" s="46"/>
      <c r="B601" s="46"/>
      <c r="C601" s="46"/>
      <c r="D601" s="46"/>
      <c r="E601" s="46"/>
      <c r="F601" s="46"/>
      <c r="G601" s="46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</row>
    <row r="602" spans="1:26" ht="18.75" customHeight="1">
      <c r="A602" s="46"/>
      <c r="B602" s="46"/>
      <c r="C602" s="46"/>
      <c r="D602" s="46"/>
      <c r="E602" s="46"/>
      <c r="F602" s="46"/>
      <c r="G602" s="46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</row>
    <row r="603" spans="1:26" ht="18.75" customHeight="1">
      <c r="A603" s="46"/>
      <c r="B603" s="46"/>
      <c r="C603" s="46"/>
      <c r="D603" s="46"/>
      <c r="E603" s="46"/>
      <c r="F603" s="46"/>
      <c r="G603" s="46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</row>
    <row r="604" spans="1:26" ht="18.75" customHeight="1">
      <c r="A604" s="46"/>
      <c r="B604" s="46"/>
      <c r="C604" s="46"/>
      <c r="D604" s="46"/>
      <c r="E604" s="46"/>
      <c r="F604" s="46"/>
      <c r="G604" s="46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</row>
    <row r="605" spans="1:26" ht="18.75" customHeight="1">
      <c r="A605" s="46"/>
      <c r="B605" s="46"/>
      <c r="C605" s="46"/>
      <c r="D605" s="46"/>
      <c r="E605" s="46"/>
      <c r="F605" s="46"/>
      <c r="G605" s="46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</row>
    <row r="606" spans="1:26" ht="18.75" customHeight="1">
      <c r="A606" s="46"/>
      <c r="B606" s="46"/>
      <c r="C606" s="46"/>
      <c r="D606" s="46"/>
      <c r="E606" s="46"/>
      <c r="F606" s="46"/>
      <c r="G606" s="46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</row>
    <row r="607" spans="1:26" ht="18.75" customHeight="1">
      <c r="A607" s="46"/>
      <c r="B607" s="46"/>
      <c r="C607" s="46"/>
      <c r="D607" s="46"/>
      <c r="E607" s="46"/>
      <c r="F607" s="46"/>
      <c r="G607" s="46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</row>
    <row r="608" spans="1:26" ht="18.75" customHeight="1">
      <c r="A608" s="46"/>
      <c r="B608" s="46"/>
      <c r="C608" s="46"/>
      <c r="D608" s="46"/>
      <c r="E608" s="46"/>
      <c r="F608" s="46"/>
      <c r="G608" s="46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</row>
    <row r="609" spans="1:26" ht="18.75" customHeight="1">
      <c r="A609" s="46"/>
      <c r="B609" s="46"/>
      <c r="C609" s="46"/>
      <c r="D609" s="46"/>
      <c r="E609" s="46"/>
      <c r="F609" s="46"/>
      <c r="G609" s="46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</row>
    <row r="610" spans="1:26" ht="18.75" customHeight="1">
      <c r="A610" s="46"/>
      <c r="B610" s="46"/>
      <c r="C610" s="46"/>
      <c r="D610" s="46"/>
      <c r="E610" s="46"/>
      <c r="F610" s="46"/>
      <c r="G610" s="46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</row>
    <row r="611" spans="1:26" ht="18.75" customHeight="1">
      <c r="A611" s="46"/>
      <c r="B611" s="46"/>
      <c r="C611" s="46"/>
      <c r="D611" s="46"/>
      <c r="E611" s="46"/>
      <c r="F611" s="46"/>
      <c r="G611" s="46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</row>
    <row r="612" spans="1:26" ht="18.75" customHeight="1">
      <c r="A612" s="46"/>
      <c r="B612" s="46"/>
      <c r="C612" s="46"/>
      <c r="D612" s="46"/>
      <c r="E612" s="46"/>
      <c r="F612" s="46"/>
      <c r="G612" s="46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</row>
    <row r="613" spans="1:26" ht="18.75" customHeight="1">
      <c r="A613" s="46"/>
      <c r="B613" s="46"/>
      <c r="C613" s="46"/>
      <c r="D613" s="46"/>
      <c r="E613" s="46"/>
      <c r="F613" s="46"/>
      <c r="G613" s="46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</row>
    <row r="614" spans="1:26" ht="18.75" customHeight="1">
      <c r="A614" s="46"/>
      <c r="B614" s="46"/>
      <c r="C614" s="46"/>
      <c r="D614" s="46"/>
      <c r="E614" s="46"/>
      <c r="F614" s="46"/>
      <c r="G614" s="46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</row>
    <row r="615" spans="1:26" ht="18.75" customHeight="1">
      <c r="A615" s="46"/>
      <c r="B615" s="46"/>
      <c r="C615" s="46"/>
      <c r="D615" s="46"/>
      <c r="E615" s="46"/>
      <c r="F615" s="46"/>
      <c r="G615" s="46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</row>
    <row r="616" spans="1:26" ht="18.75" customHeight="1">
      <c r="A616" s="46"/>
      <c r="B616" s="46"/>
      <c r="C616" s="46"/>
      <c r="D616" s="46"/>
      <c r="E616" s="46"/>
      <c r="F616" s="46"/>
      <c r="G616" s="46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</row>
    <row r="617" spans="1:26" ht="18.75" customHeight="1">
      <c r="A617" s="46"/>
      <c r="B617" s="46"/>
      <c r="C617" s="46"/>
      <c r="D617" s="46"/>
      <c r="E617" s="46"/>
      <c r="F617" s="46"/>
      <c r="G617" s="46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</row>
    <row r="618" spans="1:26" ht="18.75" customHeight="1">
      <c r="A618" s="46"/>
      <c r="B618" s="46"/>
      <c r="C618" s="46"/>
      <c r="D618" s="46"/>
      <c r="E618" s="46"/>
      <c r="F618" s="46"/>
      <c r="G618" s="46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</row>
    <row r="619" spans="1:26" ht="18.75" customHeight="1">
      <c r="A619" s="46"/>
      <c r="B619" s="46"/>
      <c r="C619" s="46"/>
      <c r="D619" s="46"/>
      <c r="E619" s="46"/>
      <c r="F619" s="46"/>
      <c r="G619" s="46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</row>
    <row r="620" spans="1:26" ht="18.75" customHeight="1">
      <c r="A620" s="46"/>
      <c r="B620" s="46"/>
      <c r="C620" s="46"/>
      <c r="D620" s="46"/>
      <c r="E620" s="46"/>
      <c r="F620" s="46"/>
      <c r="G620" s="46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</row>
    <row r="621" spans="1:26" ht="18.75" customHeight="1">
      <c r="A621" s="46"/>
      <c r="B621" s="46"/>
      <c r="C621" s="46"/>
      <c r="D621" s="46"/>
      <c r="E621" s="46"/>
      <c r="F621" s="46"/>
      <c r="G621" s="46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</row>
    <row r="622" spans="1:26" ht="18.75" customHeight="1">
      <c r="A622" s="46"/>
      <c r="B622" s="46"/>
      <c r="C622" s="46"/>
      <c r="D622" s="46"/>
      <c r="E622" s="46"/>
      <c r="F622" s="46"/>
      <c r="G622" s="46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</row>
    <row r="623" spans="1:26" ht="18.75" customHeight="1">
      <c r="A623" s="46"/>
      <c r="B623" s="46"/>
      <c r="C623" s="46"/>
      <c r="D623" s="46"/>
      <c r="E623" s="46"/>
      <c r="F623" s="46"/>
      <c r="G623" s="46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</row>
    <row r="624" spans="1:26" ht="18.75" customHeight="1">
      <c r="A624" s="46"/>
      <c r="B624" s="46"/>
      <c r="C624" s="46"/>
      <c r="D624" s="46"/>
      <c r="E624" s="46"/>
      <c r="F624" s="46"/>
      <c r="G624" s="46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</row>
    <row r="625" spans="1:26" ht="18.75" customHeight="1">
      <c r="A625" s="46"/>
      <c r="B625" s="46"/>
      <c r="C625" s="46"/>
      <c r="D625" s="46"/>
      <c r="E625" s="46"/>
      <c r="F625" s="46"/>
      <c r="G625" s="46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</row>
    <row r="626" spans="1:26" ht="18.75" customHeight="1">
      <c r="A626" s="46"/>
      <c r="B626" s="46"/>
      <c r="C626" s="46"/>
      <c r="D626" s="46"/>
      <c r="E626" s="46"/>
      <c r="F626" s="46"/>
      <c r="G626" s="46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</row>
    <row r="627" spans="1:26" ht="18.75" customHeight="1">
      <c r="A627" s="46"/>
      <c r="B627" s="46"/>
      <c r="C627" s="46"/>
      <c r="D627" s="46"/>
      <c r="E627" s="46"/>
      <c r="F627" s="46"/>
      <c r="G627" s="46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</row>
    <row r="628" spans="1:26" ht="18.75" customHeight="1">
      <c r="A628" s="46"/>
      <c r="B628" s="46"/>
      <c r="C628" s="46"/>
      <c r="D628" s="46"/>
      <c r="E628" s="46"/>
      <c r="F628" s="46"/>
      <c r="G628" s="46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</row>
    <row r="629" spans="1:26" ht="18.75" customHeight="1">
      <c r="A629" s="46"/>
      <c r="B629" s="46"/>
      <c r="C629" s="46"/>
      <c r="D629" s="46"/>
      <c r="E629" s="46"/>
      <c r="F629" s="46"/>
      <c r="G629" s="46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</row>
    <row r="630" spans="1:26" ht="18.75" customHeight="1">
      <c r="A630" s="46"/>
      <c r="B630" s="46"/>
      <c r="C630" s="46"/>
      <c r="D630" s="46"/>
      <c r="E630" s="46"/>
      <c r="F630" s="46"/>
      <c r="G630" s="46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</row>
    <row r="631" spans="1:26" ht="18.75" customHeight="1">
      <c r="A631" s="46"/>
      <c r="B631" s="46"/>
      <c r="C631" s="46"/>
      <c r="D631" s="46"/>
      <c r="E631" s="46"/>
      <c r="F631" s="46"/>
      <c r="G631" s="46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</row>
    <row r="632" spans="1:26" ht="18.75" customHeight="1">
      <c r="A632" s="46"/>
      <c r="B632" s="46"/>
      <c r="C632" s="46"/>
      <c r="D632" s="46"/>
      <c r="E632" s="46"/>
      <c r="F632" s="46"/>
      <c r="G632" s="46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</row>
    <row r="633" spans="1:26" ht="18.75" customHeight="1">
      <c r="A633" s="46"/>
      <c r="B633" s="46"/>
      <c r="C633" s="46"/>
      <c r="D633" s="46"/>
      <c r="E633" s="46"/>
      <c r="F633" s="46"/>
      <c r="G633" s="46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</row>
    <row r="634" spans="1:26" ht="18.75" customHeight="1">
      <c r="A634" s="46"/>
      <c r="B634" s="46"/>
      <c r="C634" s="46"/>
      <c r="D634" s="46"/>
      <c r="E634" s="46"/>
      <c r="F634" s="46"/>
      <c r="G634" s="46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</row>
    <row r="635" spans="1:26" ht="18.75" customHeight="1">
      <c r="A635" s="46"/>
      <c r="B635" s="46"/>
      <c r="C635" s="46"/>
      <c r="D635" s="46"/>
      <c r="E635" s="46"/>
      <c r="F635" s="46"/>
      <c r="G635" s="46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</row>
    <row r="636" spans="1:26" ht="18.75" customHeight="1">
      <c r="A636" s="46"/>
      <c r="B636" s="46"/>
      <c r="C636" s="46"/>
      <c r="D636" s="46"/>
      <c r="E636" s="46"/>
      <c r="F636" s="46"/>
      <c r="G636" s="46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</row>
    <row r="637" spans="1:26" ht="18.75" customHeight="1">
      <c r="A637" s="46"/>
      <c r="B637" s="46"/>
      <c r="C637" s="46"/>
      <c r="D637" s="46"/>
      <c r="E637" s="46"/>
      <c r="F637" s="46"/>
      <c r="G637" s="46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</row>
    <row r="638" spans="1:26" ht="18.75" customHeight="1">
      <c r="A638" s="46"/>
      <c r="B638" s="46"/>
      <c r="C638" s="46"/>
      <c r="D638" s="46"/>
      <c r="E638" s="46"/>
      <c r="F638" s="46"/>
      <c r="G638" s="46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</row>
    <row r="639" spans="1:26" ht="18.75" customHeight="1">
      <c r="A639" s="46"/>
      <c r="B639" s="46"/>
      <c r="C639" s="46"/>
      <c r="D639" s="46"/>
      <c r="E639" s="46"/>
      <c r="F639" s="46"/>
      <c r="G639" s="46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</row>
    <row r="640" spans="1:26" ht="18.75" customHeight="1">
      <c r="A640" s="46"/>
      <c r="B640" s="46"/>
      <c r="C640" s="46"/>
      <c r="D640" s="46"/>
      <c r="E640" s="46"/>
      <c r="F640" s="46"/>
      <c r="G640" s="46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</row>
    <row r="641" spans="1:26" ht="18.75" customHeight="1">
      <c r="A641" s="46"/>
      <c r="B641" s="46"/>
      <c r="C641" s="46"/>
      <c r="D641" s="46"/>
      <c r="E641" s="46"/>
      <c r="F641" s="46"/>
      <c r="G641" s="46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</row>
    <row r="642" spans="1:26" ht="18.75" customHeight="1">
      <c r="A642" s="46"/>
      <c r="B642" s="46"/>
      <c r="C642" s="46"/>
      <c r="D642" s="46"/>
      <c r="E642" s="46"/>
      <c r="F642" s="46"/>
      <c r="G642" s="46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</row>
    <row r="643" spans="1:26" ht="18.75" customHeight="1">
      <c r="A643" s="46"/>
      <c r="B643" s="46"/>
      <c r="C643" s="46"/>
      <c r="D643" s="46"/>
      <c r="E643" s="46"/>
      <c r="F643" s="46"/>
      <c r="G643" s="46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</row>
    <row r="644" spans="1:26" ht="18.75" customHeight="1">
      <c r="A644" s="46"/>
      <c r="B644" s="46"/>
      <c r="C644" s="46"/>
      <c r="D644" s="46"/>
      <c r="E644" s="46"/>
      <c r="F644" s="46"/>
      <c r="G644" s="46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</row>
    <row r="645" spans="1:26" ht="18.75" customHeight="1">
      <c r="A645" s="46"/>
      <c r="B645" s="46"/>
      <c r="C645" s="46"/>
      <c r="D645" s="46"/>
      <c r="E645" s="46"/>
      <c r="F645" s="46"/>
      <c r="G645" s="46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</row>
    <row r="646" spans="1:26" ht="18.75" customHeight="1">
      <c r="A646" s="46"/>
      <c r="B646" s="46"/>
      <c r="C646" s="46"/>
      <c r="D646" s="46"/>
      <c r="E646" s="46"/>
      <c r="F646" s="46"/>
      <c r="G646" s="46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</row>
    <row r="647" spans="1:26" ht="18.75" customHeight="1">
      <c r="A647" s="46"/>
      <c r="B647" s="46"/>
      <c r="C647" s="46"/>
      <c r="D647" s="46"/>
      <c r="E647" s="46"/>
      <c r="F647" s="46"/>
      <c r="G647" s="46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</row>
    <row r="648" spans="1:26" ht="18.75" customHeight="1">
      <c r="A648" s="46"/>
      <c r="B648" s="46"/>
      <c r="C648" s="46"/>
      <c r="D648" s="46"/>
      <c r="E648" s="46"/>
      <c r="F648" s="46"/>
      <c r="G648" s="46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</row>
    <row r="649" spans="1:26" ht="18.75" customHeight="1">
      <c r="A649" s="46"/>
      <c r="B649" s="46"/>
      <c r="C649" s="46"/>
      <c r="D649" s="46"/>
      <c r="E649" s="46"/>
      <c r="F649" s="46"/>
      <c r="G649" s="46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</row>
    <row r="650" spans="1:26" ht="18.75" customHeight="1">
      <c r="A650" s="46"/>
      <c r="B650" s="46"/>
      <c r="C650" s="46"/>
      <c r="D650" s="46"/>
      <c r="E650" s="46"/>
      <c r="F650" s="46"/>
      <c r="G650" s="46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</row>
    <row r="651" spans="1:26" ht="18.75" customHeight="1">
      <c r="A651" s="46"/>
      <c r="B651" s="46"/>
      <c r="C651" s="46"/>
      <c r="D651" s="46"/>
      <c r="E651" s="46"/>
      <c r="F651" s="46"/>
      <c r="G651" s="46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</row>
    <row r="652" spans="1:26" ht="18.75" customHeight="1">
      <c r="A652" s="46"/>
      <c r="B652" s="46"/>
      <c r="C652" s="46"/>
      <c r="D652" s="46"/>
      <c r="E652" s="46"/>
      <c r="F652" s="46"/>
      <c r="G652" s="46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</row>
    <row r="653" spans="1:26" ht="18.75" customHeight="1">
      <c r="A653" s="46"/>
      <c r="B653" s="46"/>
      <c r="C653" s="46"/>
      <c r="D653" s="46"/>
      <c r="E653" s="46"/>
      <c r="F653" s="46"/>
      <c r="G653" s="46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</row>
    <row r="654" spans="1:26" ht="18.75" customHeight="1">
      <c r="A654" s="46"/>
      <c r="B654" s="46"/>
      <c r="C654" s="46"/>
      <c r="D654" s="46"/>
      <c r="E654" s="46"/>
      <c r="F654" s="46"/>
      <c r="G654" s="46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</row>
    <row r="655" spans="1:26" ht="18.75" customHeight="1">
      <c r="A655" s="46"/>
      <c r="B655" s="46"/>
      <c r="C655" s="46"/>
      <c r="D655" s="46"/>
      <c r="E655" s="46"/>
      <c r="F655" s="46"/>
      <c r="G655" s="46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</row>
    <row r="656" spans="1:26" ht="18.75" customHeight="1">
      <c r="A656" s="46"/>
      <c r="B656" s="46"/>
      <c r="C656" s="46"/>
      <c r="D656" s="46"/>
      <c r="E656" s="46"/>
      <c r="F656" s="46"/>
      <c r="G656" s="46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</row>
    <row r="657" spans="1:26" ht="18.75" customHeight="1">
      <c r="A657" s="46"/>
      <c r="B657" s="46"/>
      <c r="C657" s="46"/>
      <c r="D657" s="46"/>
      <c r="E657" s="46"/>
      <c r="F657" s="46"/>
      <c r="G657" s="46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</row>
    <row r="658" spans="1:26" ht="18.75" customHeight="1">
      <c r="A658" s="46"/>
      <c r="B658" s="46"/>
      <c r="C658" s="46"/>
      <c r="D658" s="46"/>
      <c r="E658" s="46"/>
      <c r="F658" s="46"/>
      <c r="G658" s="46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</row>
    <row r="659" spans="1:26" ht="18.75" customHeight="1">
      <c r="A659" s="46"/>
      <c r="B659" s="46"/>
      <c r="C659" s="46"/>
      <c r="D659" s="46"/>
      <c r="E659" s="46"/>
      <c r="F659" s="46"/>
      <c r="G659" s="46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</row>
    <row r="660" spans="1:26" ht="18.75" customHeight="1">
      <c r="A660" s="46"/>
      <c r="B660" s="46"/>
      <c r="C660" s="46"/>
      <c r="D660" s="46"/>
      <c r="E660" s="46"/>
      <c r="F660" s="46"/>
      <c r="G660" s="46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</row>
    <row r="661" spans="1:26" ht="18.75" customHeight="1">
      <c r="A661" s="46"/>
      <c r="B661" s="46"/>
      <c r="C661" s="46"/>
      <c r="D661" s="46"/>
      <c r="E661" s="46"/>
      <c r="F661" s="46"/>
      <c r="G661" s="46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</row>
    <row r="662" spans="1:26" ht="18.75" customHeight="1">
      <c r="A662" s="46"/>
      <c r="B662" s="46"/>
      <c r="C662" s="46"/>
      <c r="D662" s="46"/>
      <c r="E662" s="46"/>
      <c r="F662" s="46"/>
      <c r="G662" s="46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</row>
    <row r="663" spans="1:26" ht="18.75" customHeight="1">
      <c r="A663" s="46"/>
      <c r="B663" s="46"/>
      <c r="C663" s="46"/>
      <c r="D663" s="46"/>
      <c r="E663" s="46"/>
      <c r="F663" s="46"/>
      <c r="G663" s="46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</row>
    <row r="664" spans="1:26" ht="18.75" customHeight="1">
      <c r="A664" s="46"/>
      <c r="B664" s="46"/>
      <c r="C664" s="46"/>
      <c r="D664" s="46"/>
      <c r="E664" s="46"/>
      <c r="F664" s="46"/>
      <c r="G664" s="46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</row>
    <row r="665" spans="1:26" ht="18.75" customHeight="1">
      <c r="A665" s="46"/>
      <c r="B665" s="46"/>
      <c r="C665" s="46"/>
      <c r="D665" s="46"/>
      <c r="E665" s="46"/>
      <c r="F665" s="46"/>
      <c r="G665" s="46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</row>
    <row r="666" spans="1:26" ht="18.75" customHeight="1">
      <c r="A666" s="46"/>
      <c r="B666" s="46"/>
      <c r="C666" s="46"/>
      <c r="D666" s="46"/>
      <c r="E666" s="46"/>
      <c r="F666" s="46"/>
      <c r="G666" s="46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</row>
    <row r="667" spans="1:26" ht="18.75" customHeight="1">
      <c r="A667" s="46"/>
      <c r="B667" s="46"/>
      <c r="C667" s="46"/>
      <c r="D667" s="46"/>
      <c r="E667" s="46"/>
      <c r="F667" s="46"/>
      <c r="G667" s="46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</row>
    <row r="668" spans="1:26" ht="18.75" customHeight="1">
      <c r="A668" s="46"/>
      <c r="B668" s="46"/>
      <c r="C668" s="46"/>
      <c r="D668" s="46"/>
      <c r="E668" s="46"/>
      <c r="F668" s="46"/>
      <c r="G668" s="46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</row>
    <row r="669" spans="1:26" ht="18.75" customHeight="1">
      <c r="A669" s="46"/>
      <c r="B669" s="46"/>
      <c r="C669" s="46"/>
      <c r="D669" s="46"/>
      <c r="E669" s="46"/>
      <c r="F669" s="46"/>
      <c r="G669" s="46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</row>
    <row r="670" spans="1:26" ht="18.75" customHeight="1">
      <c r="A670" s="46"/>
      <c r="B670" s="46"/>
      <c r="C670" s="46"/>
      <c r="D670" s="46"/>
      <c r="E670" s="46"/>
      <c r="F670" s="46"/>
      <c r="G670" s="46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</row>
    <row r="671" spans="1:26" ht="18.75" customHeight="1">
      <c r="A671" s="46"/>
      <c r="B671" s="46"/>
      <c r="C671" s="46"/>
      <c r="D671" s="46"/>
      <c r="E671" s="46"/>
      <c r="F671" s="46"/>
      <c r="G671" s="46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</row>
    <row r="672" spans="1:26" ht="18.75" customHeight="1">
      <c r="A672" s="46"/>
      <c r="B672" s="46"/>
      <c r="C672" s="46"/>
      <c r="D672" s="46"/>
      <c r="E672" s="46"/>
      <c r="F672" s="46"/>
      <c r="G672" s="46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</row>
    <row r="673" spans="1:26" ht="18.75" customHeight="1">
      <c r="A673" s="46"/>
      <c r="B673" s="46"/>
      <c r="C673" s="46"/>
      <c r="D673" s="46"/>
      <c r="E673" s="46"/>
      <c r="F673" s="46"/>
      <c r="G673" s="46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</row>
    <row r="674" spans="1:26" ht="18.75" customHeight="1">
      <c r="A674" s="46"/>
      <c r="B674" s="46"/>
      <c r="C674" s="46"/>
      <c r="D674" s="46"/>
      <c r="E674" s="46"/>
      <c r="F674" s="46"/>
      <c r="G674" s="46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</row>
    <row r="675" spans="1:26" ht="18.75" customHeight="1">
      <c r="A675" s="46"/>
      <c r="B675" s="46"/>
      <c r="C675" s="46"/>
      <c r="D675" s="46"/>
      <c r="E675" s="46"/>
      <c r="F675" s="46"/>
      <c r="G675" s="46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</row>
    <row r="676" spans="1:26" ht="18.75" customHeight="1">
      <c r="A676" s="46"/>
      <c r="B676" s="46"/>
      <c r="C676" s="46"/>
      <c r="D676" s="46"/>
      <c r="E676" s="46"/>
      <c r="F676" s="46"/>
      <c r="G676" s="46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</row>
    <row r="677" spans="1:26" ht="18.75" customHeight="1">
      <c r="A677" s="46"/>
      <c r="B677" s="46"/>
      <c r="C677" s="46"/>
      <c r="D677" s="46"/>
      <c r="E677" s="46"/>
      <c r="F677" s="46"/>
      <c r="G677" s="46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</row>
    <row r="678" spans="1:26" ht="18.75" customHeight="1">
      <c r="A678" s="46"/>
      <c r="B678" s="46"/>
      <c r="C678" s="46"/>
      <c r="D678" s="46"/>
      <c r="E678" s="46"/>
      <c r="F678" s="46"/>
      <c r="G678" s="46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</row>
    <row r="679" spans="1:26" ht="18.75" customHeight="1">
      <c r="A679" s="46"/>
      <c r="B679" s="46"/>
      <c r="C679" s="46"/>
      <c r="D679" s="46"/>
      <c r="E679" s="46"/>
      <c r="F679" s="46"/>
      <c r="G679" s="46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</row>
    <row r="680" spans="1:26" ht="18.75" customHeight="1">
      <c r="A680" s="46"/>
      <c r="B680" s="46"/>
      <c r="C680" s="46"/>
      <c r="D680" s="46"/>
      <c r="E680" s="46"/>
      <c r="F680" s="46"/>
      <c r="G680" s="46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</row>
    <row r="681" spans="1:26" ht="18.75" customHeight="1">
      <c r="A681" s="46"/>
      <c r="B681" s="46"/>
      <c r="C681" s="46"/>
      <c r="D681" s="46"/>
      <c r="E681" s="46"/>
      <c r="F681" s="46"/>
      <c r="G681" s="46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</row>
    <row r="682" spans="1:26" ht="18.75" customHeight="1">
      <c r="A682" s="46"/>
      <c r="B682" s="46"/>
      <c r="C682" s="46"/>
      <c r="D682" s="46"/>
      <c r="E682" s="46"/>
      <c r="F682" s="46"/>
      <c r="G682" s="46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</row>
    <row r="683" spans="1:26" ht="18.75" customHeight="1">
      <c r="A683" s="46"/>
      <c r="B683" s="46"/>
      <c r="C683" s="46"/>
      <c r="D683" s="46"/>
      <c r="E683" s="46"/>
      <c r="F683" s="46"/>
      <c r="G683" s="46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</row>
    <row r="684" spans="1:26" ht="18.75" customHeight="1">
      <c r="A684" s="46"/>
      <c r="B684" s="46"/>
      <c r="C684" s="46"/>
      <c r="D684" s="46"/>
      <c r="E684" s="46"/>
      <c r="F684" s="46"/>
      <c r="G684" s="46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</row>
    <row r="685" spans="1:26" ht="18.75" customHeight="1">
      <c r="A685" s="46"/>
      <c r="B685" s="46"/>
      <c r="C685" s="46"/>
      <c r="D685" s="46"/>
      <c r="E685" s="46"/>
      <c r="F685" s="46"/>
      <c r="G685" s="46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</row>
    <row r="686" spans="1:26" ht="18.75" customHeight="1">
      <c r="A686" s="46"/>
      <c r="B686" s="46"/>
      <c r="C686" s="46"/>
      <c r="D686" s="46"/>
      <c r="E686" s="46"/>
      <c r="F686" s="46"/>
      <c r="G686" s="46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</row>
    <row r="687" spans="1:26" ht="18.75" customHeight="1">
      <c r="A687" s="46"/>
      <c r="B687" s="46"/>
      <c r="C687" s="46"/>
      <c r="D687" s="46"/>
      <c r="E687" s="46"/>
      <c r="F687" s="46"/>
      <c r="G687" s="46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</row>
    <row r="688" spans="1:26" ht="18.75" customHeight="1">
      <c r="A688" s="46"/>
      <c r="B688" s="46"/>
      <c r="C688" s="46"/>
      <c r="D688" s="46"/>
      <c r="E688" s="46"/>
      <c r="F688" s="46"/>
      <c r="G688" s="46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</row>
    <row r="689" spans="1:26" ht="18.75" customHeight="1">
      <c r="A689" s="46"/>
      <c r="B689" s="46"/>
      <c r="C689" s="46"/>
      <c r="D689" s="46"/>
      <c r="E689" s="46"/>
      <c r="F689" s="46"/>
      <c r="G689" s="46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</row>
    <row r="690" spans="1:26" ht="18.75" customHeight="1">
      <c r="A690" s="46"/>
      <c r="B690" s="46"/>
      <c r="C690" s="46"/>
      <c r="D690" s="46"/>
      <c r="E690" s="46"/>
      <c r="F690" s="46"/>
      <c r="G690" s="46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</row>
    <row r="691" spans="1:26" ht="18.75" customHeight="1">
      <c r="A691" s="46"/>
      <c r="B691" s="46"/>
      <c r="C691" s="46"/>
      <c r="D691" s="46"/>
      <c r="E691" s="46"/>
      <c r="F691" s="46"/>
      <c r="G691" s="46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</row>
    <row r="692" spans="1:26" ht="18.75" customHeight="1">
      <c r="A692" s="46"/>
      <c r="B692" s="46"/>
      <c r="C692" s="46"/>
      <c r="D692" s="46"/>
      <c r="E692" s="46"/>
      <c r="F692" s="46"/>
      <c r="G692" s="46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</row>
    <row r="693" spans="1:26" ht="18.75" customHeight="1">
      <c r="A693" s="46"/>
      <c r="B693" s="46"/>
      <c r="C693" s="46"/>
      <c r="D693" s="46"/>
      <c r="E693" s="46"/>
      <c r="F693" s="46"/>
      <c r="G693" s="46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</row>
    <row r="694" spans="1:26" ht="18.75" customHeight="1">
      <c r="A694" s="46"/>
      <c r="B694" s="46"/>
      <c r="C694" s="46"/>
      <c r="D694" s="46"/>
      <c r="E694" s="46"/>
      <c r="F694" s="46"/>
      <c r="G694" s="46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</row>
    <row r="695" spans="1:26" ht="18.75" customHeight="1">
      <c r="A695" s="46"/>
      <c r="B695" s="46"/>
      <c r="C695" s="46"/>
      <c r="D695" s="46"/>
      <c r="E695" s="46"/>
      <c r="F695" s="46"/>
      <c r="G695" s="46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</row>
    <row r="696" spans="1:26" ht="18.75" customHeight="1">
      <c r="A696" s="46"/>
      <c r="B696" s="46"/>
      <c r="C696" s="46"/>
      <c r="D696" s="46"/>
      <c r="E696" s="46"/>
      <c r="F696" s="46"/>
      <c r="G696" s="46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</row>
    <row r="697" spans="1:26" ht="18.75" customHeight="1">
      <c r="A697" s="46"/>
      <c r="B697" s="46"/>
      <c r="C697" s="46"/>
      <c r="D697" s="46"/>
      <c r="E697" s="46"/>
      <c r="F697" s="46"/>
      <c r="G697" s="46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</row>
    <row r="698" spans="1:26" ht="18.75" customHeight="1">
      <c r="A698" s="46"/>
      <c r="B698" s="46"/>
      <c r="C698" s="46"/>
      <c r="D698" s="46"/>
      <c r="E698" s="46"/>
      <c r="F698" s="46"/>
      <c r="G698" s="46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</row>
    <row r="699" spans="1:26" ht="18.75" customHeight="1">
      <c r="A699" s="46"/>
      <c r="B699" s="46"/>
      <c r="C699" s="46"/>
      <c r="D699" s="46"/>
      <c r="E699" s="46"/>
      <c r="F699" s="46"/>
      <c r="G699" s="46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</row>
    <row r="700" spans="1:26" ht="18.75" customHeight="1">
      <c r="A700" s="46"/>
      <c r="B700" s="46"/>
      <c r="C700" s="46"/>
      <c r="D700" s="46"/>
      <c r="E700" s="46"/>
      <c r="F700" s="46"/>
      <c r="G700" s="46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</row>
    <row r="701" spans="1:26" ht="18.75" customHeight="1">
      <c r="A701" s="46"/>
      <c r="B701" s="46"/>
      <c r="C701" s="46"/>
      <c r="D701" s="46"/>
      <c r="E701" s="46"/>
      <c r="F701" s="46"/>
      <c r="G701" s="46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</row>
    <row r="702" spans="1:26" ht="18.75" customHeight="1">
      <c r="A702" s="46"/>
      <c r="B702" s="46"/>
      <c r="C702" s="46"/>
      <c r="D702" s="46"/>
      <c r="E702" s="46"/>
      <c r="F702" s="46"/>
      <c r="G702" s="46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</row>
    <row r="703" spans="1:26" ht="18.75" customHeight="1">
      <c r="A703" s="46"/>
      <c r="B703" s="46"/>
      <c r="C703" s="46"/>
      <c r="D703" s="46"/>
      <c r="E703" s="46"/>
      <c r="F703" s="46"/>
      <c r="G703" s="46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</row>
    <row r="704" spans="1:26" ht="18.75" customHeight="1">
      <c r="A704" s="46"/>
      <c r="B704" s="46"/>
      <c r="C704" s="46"/>
      <c r="D704" s="46"/>
      <c r="E704" s="46"/>
      <c r="F704" s="46"/>
      <c r="G704" s="46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</row>
    <row r="705" spans="1:26" ht="18.75" customHeight="1">
      <c r="A705" s="46"/>
      <c r="B705" s="46"/>
      <c r="C705" s="46"/>
      <c r="D705" s="46"/>
      <c r="E705" s="46"/>
      <c r="F705" s="46"/>
      <c r="G705" s="46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</row>
    <row r="706" spans="1:26" ht="18.75" customHeight="1">
      <c r="A706" s="46"/>
      <c r="B706" s="46"/>
      <c r="C706" s="46"/>
      <c r="D706" s="46"/>
      <c r="E706" s="46"/>
      <c r="F706" s="46"/>
      <c r="G706" s="46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</row>
    <row r="707" spans="1:26" ht="18.75" customHeight="1">
      <c r="A707" s="46"/>
      <c r="B707" s="46"/>
      <c r="C707" s="46"/>
      <c r="D707" s="46"/>
      <c r="E707" s="46"/>
      <c r="F707" s="46"/>
      <c r="G707" s="46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</row>
    <row r="708" spans="1:26" ht="18.75" customHeight="1">
      <c r="A708" s="46"/>
      <c r="B708" s="46"/>
      <c r="C708" s="46"/>
      <c r="D708" s="46"/>
      <c r="E708" s="46"/>
      <c r="F708" s="46"/>
      <c r="G708" s="46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</row>
    <row r="709" spans="1:26" ht="18.75" customHeight="1">
      <c r="A709" s="46"/>
      <c r="B709" s="46"/>
      <c r="C709" s="46"/>
      <c r="D709" s="46"/>
      <c r="E709" s="46"/>
      <c r="F709" s="46"/>
      <c r="G709" s="46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</row>
    <row r="710" spans="1:26" ht="18.75" customHeight="1">
      <c r="A710" s="46"/>
      <c r="B710" s="46"/>
      <c r="C710" s="46"/>
      <c r="D710" s="46"/>
      <c r="E710" s="46"/>
      <c r="F710" s="46"/>
      <c r="G710" s="46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</row>
    <row r="711" spans="1:26" ht="18.75" customHeight="1">
      <c r="A711" s="46"/>
      <c r="B711" s="46"/>
      <c r="C711" s="46"/>
      <c r="D711" s="46"/>
      <c r="E711" s="46"/>
      <c r="F711" s="46"/>
      <c r="G711" s="46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</row>
    <row r="712" spans="1:26" ht="18.75" customHeight="1">
      <c r="A712" s="46"/>
      <c r="B712" s="46"/>
      <c r="C712" s="46"/>
      <c r="D712" s="46"/>
      <c r="E712" s="46"/>
      <c r="F712" s="46"/>
      <c r="G712" s="46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</row>
    <row r="713" spans="1:26" ht="18.75" customHeight="1">
      <c r="A713" s="46"/>
      <c r="B713" s="46"/>
      <c r="C713" s="46"/>
      <c r="D713" s="46"/>
      <c r="E713" s="46"/>
      <c r="F713" s="46"/>
      <c r="G713" s="46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</row>
    <row r="714" spans="1:26" ht="18.75" customHeight="1">
      <c r="A714" s="46"/>
      <c r="B714" s="46"/>
      <c r="C714" s="46"/>
      <c r="D714" s="46"/>
      <c r="E714" s="46"/>
      <c r="F714" s="46"/>
      <c r="G714" s="46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</row>
    <row r="715" spans="1:26" ht="18.75" customHeight="1">
      <c r="A715" s="46"/>
      <c r="B715" s="46"/>
      <c r="C715" s="46"/>
      <c r="D715" s="46"/>
      <c r="E715" s="46"/>
      <c r="F715" s="46"/>
      <c r="G715" s="46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</row>
    <row r="716" spans="1:26" ht="18.75" customHeight="1">
      <c r="A716" s="46"/>
      <c r="B716" s="46"/>
      <c r="C716" s="46"/>
      <c r="D716" s="46"/>
      <c r="E716" s="46"/>
      <c r="F716" s="46"/>
      <c r="G716" s="46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</row>
    <row r="717" spans="1:26" ht="18.75" customHeight="1">
      <c r="A717" s="46"/>
      <c r="B717" s="46"/>
      <c r="C717" s="46"/>
      <c r="D717" s="46"/>
      <c r="E717" s="46"/>
      <c r="F717" s="46"/>
      <c r="G717" s="46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</row>
    <row r="718" spans="1:26" ht="18.75" customHeight="1">
      <c r="A718" s="46"/>
      <c r="B718" s="46"/>
      <c r="C718" s="46"/>
      <c r="D718" s="46"/>
      <c r="E718" s="46"/>
      <c r="F718" s="46"/>
      <c r="G718" s="46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</row>
    <row r="719" spans="1:26" ht="18.75" customHeight="1">
      <c r="A719" s="46"/>
      <c r="B719" s="46"/>
      <c r="C719" s="46"/>
      <c r="D719" s="46"/>
      <c r="E719" s="46"/>
      <c r="F719" s="46"/>
      <c r="G719" s="46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</row>
    <row r="720" spans="1:26" ht="18.75" customHeight="1">
      <c r="A720" s="46"/>
      <c r="B720" s="46"/>
      <c r="C720" s="46"/>
      <c r="D720" s="46"/>
      <c r="E720" s="46"/>
      <c r="F720" s="46"/>
      <c r="G720" s="46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</row>
    <row r="721" spans="1:26" ht="18.75" customHeight="1">
      <c r="A721" s="46"/>
      <c r="B721" s="46"/>
      <c r="C721" s="46"/>
      <c r="D721" s="46"/>
      <c r="E721" s="46"/>
      <c r="F721" s="46"/>
      <c r="G721" s="46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</row>
    <row r="722" spans="1:26" ht="18.75" customHeight="1">
      <c r="A722" s="46"/>
      <c r="B722" s="46"/>
      <c r="C722" s="46"/>
      <c r="D722" s="46"/>
      <c r="E722" s="46"/>
      <c r="F722" s="46"/>
      <c r="G722" s="46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</row>
    <row r="723" spans="1:26" ht="18.75" customHeight="1">
      <c r="A723" s="46"/>
      <c r="B723" s="46"/>
      <c r="C723" s="46"/>
      <c r="D723" s="46"/>
      <c r="E723" s="46"/>
      <c r="F723" s="46"/>
      <c r="G723" s="46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</row>
    <row r="724" spans="1:26" ht="18.75" customHeight="1">
      <c r="A724" s="46"/>
      <c r="B724" s="46"/>
      <c r="C724" s="46"/>
      <c r="D724" s="46"/>
      <c r="E724" s="46"/>
      <c r="F724" s="46"/>
      <c r="G724" s="46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</row>
    <row r="725" spans="1:26" ht="18.75" customHeight="1">
      <c r="A725" s="46"/>
      <c r="B725" s="46"/>
      <c r="C725" s="46"/>
      <c r="D725" s="46"/>
      <c r="E725" s="46"/>
      <c r="F725" s="46"/>
      <c r="G725" s="46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</row>
    <row r="726" spans="1:26" ht="18.75" customHeight="1">
      <c r="A726" s="46"/>
      <c r="B726" s="46"/>
      <c r="C726" s="46"/>
      <c r="D726" s="46"/>
      <c r="E726" s="46"/>
      <c r="F726" s="46"/>
      <c r="G726" s="46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</row>
    <row r="727" spans="1:26" ht="18.75" customHeight="1">
      <c r="A727" s="46"/>
      <c r="B727" s="46"/>
      <c r="C727" s="46"/>
      <c r="D727" s="46"/>
      <c r="E727" s="46"/>
      <c r="F727" s="46"/>
      <c r="G727" s="46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</row>
    <row r="728" spans="1:26" ht="18.75" customHeight="1">
      <c r="A728" s="46"/>
      <c r="B728" s="46"/>
      <c r="C728" s="46"/>
      <c r="D728" s="46"/>
      <c r="E728" s="46"/>
      <c r="F728" s="46"/>
      <c r="G728" s="46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</row>
    <row r="729" spans="1:26" ht="18.75" customHeight="1">
      <c r="A729" s="46"/>
      <c r="B729" s="46"/>
      <c r="C729" s="46"/>
      <c r="D729" s="46"/>
      <c r="E729" s="46"/>
      <c r="F729" s="46"/>
      <c r="G729" s="46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</row>
    <row r="730" spans="1:26" ht="18.75" customHeight="1">
      <c r="A730" s="46"/>
      <c r="B730" s="46"/>
      <c r="C730" s="46"/>
      <c r="D730" s="46"/>
      <c r="E730" s="46"/>
      <c r="F730" s="46"/>
      <c r="G730" s="46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</row>
    <row r="731" spans="1:26" ht="18.75" customHeight="1">
      <c r="A731" s="46"/>
      <c r="B731" s="46"/>
      <c r="C731" s="46"/>
      <c r="D731" s="46"/>
      <c r="E731" s="46"/>
      <c r="F731" s="46"/>
      <c r="G731" s="46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</row>
    <row r="732" spans="1:26" ht="18.75" customHeight="1">
      <c r="A732" s="46"/>
      <c r="B732" s="46"/>
      <c r="C732" s="46"/>
      <c r="D732" s="46"/>
      <c r="E732" s="46"/>
      <c r="F732" s="46"/>
      <c r="G732" s="46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</row>
    <row r="733" spans="1:26" ht="18.75" customHeight="1">
      <c r="A733" s="46"/>
      <c r="B733" s="46"/>
      <c r="C733" s="46"/>
      <c r="D733" s="46"/>
      <c r="E733" s="46"/>
      <c r="F733" s="46"/>
      <c r="G733" s="46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</row>
    <row r="734" spans="1:26" ht="18.75" customHeight="1">
      <c r="A734" s="46"/>
      <c r="B734" s="46"/>
      <c r="C734" s="46"/>
      <c r="D734" s="46"/>
      <c r="E734" s="46"/>
      <c r="F734" s="46"/>
      <c r="G734" s="46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</row>
    <row r="735" spans="1:26" ht="18.75" customHeight="1">
      <c r="A735" s="46"/>
      <c r="B735" s="46"/>
      <c r="C735" s="46"/>
      <c r="D735" s="46"/>
      <c r="E735" s="46"/>
      <c r="F735" s="46"/>
      <c r="G735" s="46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</row>
    <row r="736" spans="1:26" ht="18.75" customHeight="1">
      <c r="A736" s="46"/>
      <c r="B736" s="46"/>
      <c r="C736" s="46"/>
      <c r="D736" s="46"/>
      <c r="E736" s="46"/>
      <c r="F736" s="46"/>
      <c r="G736" s="46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</row>
    <row r="737" spans="1:26" ht="18.75" customHeight="1">
      <c r="A737" s="46"/>
      <c r="B737" s="46"/>
      <c r="C737" s="46"/>
      <c r="D737" s="46"/>
      <c r="E737" s="46"/>
      <c r="F737" s="46"/>
      <c r="G737" s="46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</row>
    <row r="738" spans="1:26" ht="18.75" customHeight="1">
      <c r="A738" s="46"/>
      <c r="B738" s="46"/>
      <c r="C738" s="46"/>
      <c r="D738" s="46"/>
      <c r="E738" s="46"/>
      <c r="F738" s="46"/>
      <c r="G738" s="46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</row>
    <row r="739" spans="1:26" ht="18.75" customHeight="1">
      <c r="A739" s="46"/>
      <c r="B739" s="46"/>
      <c r="C739" s="46"/>
      <c r="D739" s="46"/>
      <c r="E739" s="46"/>
      <c r="F739" s="46"/>
      <c r="G739" s="46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</row>
    <row r="740" spans="1:26" ht="18.75" customHeight="1">
      <c r="A740" s="46"/>
      <c r="B740" s="46"/>
      <c r="C740" s="46"/>
      <c r="D740" s="46"/>
      <c r="E740" s="46"/>
      <c r="F740" s="46"/>
      <c r="G740" s="46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</row>
    <row r="741" spans="1:26" ht="18.75" customHeight="1">
      <c r="A741" s="46"/>
      <c r="B741" s="46"/>
      <c r="C741" s="46"/>
      <c r="D741" s="46"/>
      <c r="E741" s="46"/>
      <c r="F741" s="46"/>
      <c r="G741" s="46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</row>
    <row r="742" spans="1:26" ht="18.75" customHeight="1">
      <c r="A742" s="46"/>
      <c r="B742" s="46"/>
      <c r="C742" s="46"/>
      <c r="D742" s="46"/>
      <c r="E742" s="46"/>
      <c r="F742" s="46"/>
      <c r="G742" s="46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</row>
    <row r="743" spans="1:26" ht="18.75" customHeight="1">
      <c r="A743" s="46"/>
      <c r="B743" s="46"/>
      <c r="C743" s="46"/>
      <c r="D743" s="46"/>
      <c r="E743" s="46"/>
      <c r="F743" s="46"/>
      <c r="G743" s="46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</row>
    <row r="744" spans="1:26" ht="18.75" customHeight="1">
      <c r="A744" s="46"/>
      <c r="B744" s="46"/>
      <c r="C744" s="46"/>
      <c r="D744" s="46"/>
      <c r="E744" s="46"/>
      <c r="F744" s="46"/>
      <c r="G744" s="46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</row>
    <row r="745" spans="1:26" ht="18.75" customHeight="1">
      <c r="A745" s="46"/>
      <c r="B745" s="46"/>
      <c r="C745" s="46"/>
      <c r="D745" s="46"/>
      <c r="E745" s="46"/>
      <c r="F745" s="46"/>
      <c r="G745" s="46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</row>
    <row r="746" spans="1:26" ht="18.75" customHeight="1">
      <c r="A746" s="46"/>
      <c r="B746" s="46"/>
      <c r="C746" s="46"/>
      <c r="D746" s="46"/>
      <c r="E746" s="46"/>
      <c r="F746" s="46"/>
      <c r="G746" s="46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</row>
    <row r="747" spans="1:26" ht="18.75" customHeight="1">
      <c r="A747" s="46"/>
      <c r="B747" s="46"/>
      <c r="C747" s="46"/>
      <c r="D747" s="46"/>
      <c r="E747" s="46"/>
      <c r="F747" s="46"/>
      <c r="G747" s="46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</row>
    <row r="748" spans="1:26" ht="18.75" customHeight="1">
      <c r="A748" s="46"/>
      <c r="B748" s="46"/>
      <c r="C748" s="46"/>
      <c r="D748" s="46"/>
      <c r="E748" s="46"/>
      <c r="F748" s="46"/>
      <c r="G748" s="46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</row>
    <row r="749" spans="1:26" ht="18.75" customHeight="1">
      <c r="A749" s="46"/>
      <c r="B749" s="46"/>
      <c r="C749" s="46"/>
      <c r="D749" s="46"/>
      <c r="E749" s="46"/>
      <c r="F749" s="46"/>
      <c r="G749" s="46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</row>
    <row r="750" spans="1:26" ht="18.75" customHeight="1">
      <c r="A750" s="46"/>
      <c r="B750" s="46"/>
      <c r="C750" s="46"/>
      <c r="D750" s="46"/>
      <c r="E750" s="46"/>
      <c r="F750" s="46"/>
      <c r="G750" s="46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</row>
    <row r="751" spans="1:26" ht="18.75" customHeight="1">
      <c r="A751" s="46"/>
      <c r="B751" s="46"/>
      <c r="C751" s="46"/>
      <c r="D751" s="46"/>
      <c r="E751" s="46"/>
      <c r="F751" s="46"/>
      <c r="G751" s="46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</row>
    <row r="752" spans="1:26" ht="18.75" customHeight="1">
      <c r="A752" s="46"/>
      <c r="B752" s="46"/>
      <c r="C752" s="46"/>
      <c r="D752" s="46"/>
      <c r="E752" s="46"/>
      <c r="F752" s="46"/>
      <c r="G752" s="46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</row>
    <row r="753" spans="1:26" ht="18.75" customHeight="1">
      <c r="A753" s="46"/>
      <c r="B753" s="46"/>
      <c r="C753" s="46"/>
      <c r="D753" s="46"/>
      <c r="E753" s="46"/>
      <c r="F753" s="46"/>
      <c r="G753" s="46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</row>
    <row r="754" spans="1:26" ht="18.75" customHeight="1">
      <c r="A754" s="46"/>
      <c r="B754" s="46"/>
      <c r="C754" s="46"/>
      <c r="D754" s="46"/>
      <c r="E754" s="46"/>
      <c r="F754" s="46"/>
      <c r="G754" s="46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</row>
    <row r="755" spans="1:26" ht="18.75" customHeight="1">
      <c r="A755" s="46"/>
      <c r="B755" s="46"/>
      <c r="C755" s="46"/>
      <c r="D755" s="46"/>
      <c r="E755" s="46"/>
      <c r="F755" s="46"/>
      <c r="G755" s="46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</row>
    <row r="756" spans="1:26" ht="18.75" customHeight="1">
      <c r="A756" s="46"/>
      <c r="B756" s="46"/>
      <c r="C756" s="46"/>
      <c r="D756" s="46"/>
      <c r="E756" s="46"/>
      <c r="F756" s="46"/>
      <c r="G756" s="46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</row>
    <row r="757" spans="1:26" ht="18.75" customHeight="1">
      <c r="A757" s="46"/>
      <c r="B757" s="46"/>
      <c r="C757" s="46"/>
      <c r="D757" s="46"/>
      <c r="E757" s="46"/>
      <c r="F757" s="46"/>
      <c r="G757" s="46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</row>
    <row r="758" spans="1:26" ht="18.75" customHeight="1">
      <c r="A758" s="46"/>
      <c r="B758" s="46"/>
      <c r="C758" s="46"/>
      <c r="D758" s="46"/>
      <c r="E758" s="46"/>
      <c r="F758" s="46"/>
      <c r="G758" s="46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</row>
    <row r="759" spans="1:26" ht="18.75" customHeight="1">
      <c r="A759" s="46"/>
      <c r="B759" s="46"/>
      <c r="C759" s="46"/>
      <c r="D759" s="46"/>
      <c r="E759" s="46"/>
      <c r="F759" s="46"/>
      <c r="G759" s="46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</row>
    <row r="760" spans="1:26" ht="18.75" customHeight="1">
      <c r="A760" s="46"/>
      <c r="B760" s="46"/>
      <c r="C760" s="46"/>
      <c r="D760" s="46"/>
      <c r="E760" s="46"/>
      <c r="F760" s="46"/>
      <c r="G760" s="46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</row>
    <row r="761" spans="1:26" ht="18.75" customHeight="1">
      <c r="A761" s="46"/>
      <c r="B761" s="46"/>
      <c r="C761" s="46"/>
      <c r="D761" s="46"/>
      <c r="E761" s="46"/>
      <c r="F761" s="46"/>
      <c r="G761" s="46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</row>
    <row r="762" spans="1:26" ht="18.75" customHeight="1">
      <c r="A762" s="46"/>
      <c r="B762" s="46"/>
      <c r="C762" s="46"/>
      <c r="D762" s="46"/>
      <c r="E762" s="46"/>
      <c r="F762" s="46"/>
      <c r="G762" s="46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</row>
    <row r="763" spans="1:26" ht="18.75" customHeight="1">
      <c r="A763" s="46"/>
      <c r="B763" s="46"/>
      <c r="C763" s="46"/>
      <c r="D763" s="46"/>
      <c r="E763" s="46"/>
      <c r="F763" s="46"/>
      <c r="G763" s="46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</row>
    <row r="764" spans="1:26" ht="18.75" customHeight="1">
      <c r="A764" s="46"/>
      <c r="B764" s="46"/>
      <c r="C764" s="46"/>
      <c r="D764" s="46"/>
      <c r="E764" s="46"/>
      <c r="F764" s="46"/>
      <c r="G764" s="46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</row>
    <row r="765" spans="1:26" ht="18.75" customHeight="1">
      <c r="A765" s="46"/>
      <c r="B765" s="46"/>
      <c r="C765" s="46"/>
      <c r="D765" s="46"/>
      <c r="E765" s="46"/>
      <c r="F765" s="46"/>
      <c r="G765" s="46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</row>
    <row r="766" spans="1:26" ht="18.75" customHeight="1">
      <c r="A766" s="46"/>
      <c r="B766" s="46"/>
      <c r="C766" s="46"/>
      <c r="D766" s="46"/>
      <c r="E766" s="46"/>
      <c r="F766" s="46"/>
      <c r="G766" s="46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</row>
    <row r="767" spans="1:26" ht="18.75" customHeight="1">
      <c r="A767" s="46"/>
      <c r="B767" s="46"/>
      <c r="C767" s="46"/>
      <c r="D767" s="46"/>
      <c r="E767" s="46"/>
      <c r="F767" s="46"/>
      <c r="G767" s="46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</row>
    <row r="768" spans="1:26" ht="18.75" customHeight="1">
      <c r="A768" s="46"/>
      <c r="B768" s="46"/>
      <c r="C768" s="46"/>
      <c r="D768" s="46"/>
      <c r="E768" s="46"/>
      <c r="F768" s="46"/>
      <c r="G768" s="46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</row>
    <row r="769" spans="1:26" ht="18.75" customHeight="1">
      <c r="A769" s="46"/>
      <c r="B769" s="46"/>
      <c r="C769" s="46"/>
      <c r="D769" s="46"/>
      <c r="E769" s="46"/>
      <c r="F769" s="46"/>
      <c r="G769" s="46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</row>
    <row r="770" spans="1:26" ht="18.75" customHeight="1">
      <c r="A770" s="46"/>
      <c r="B770" s="46"/>
      <c r="C770" s="46"/>
      <c r="D770" s="46"/>
      <c r="E770" s="46"/>
      <c r="F770" s="46"/>
      <c r="G770" s="46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</row>
    <row r="771" spans="1:26" ht="18.75" customHeight="1">
      <c r="A771" s="46"/>
      <c r="B771" s="46"/>
      <c r="C771" s="46"/>
      <c r="D771" s="46"/>
      <c r="E771" s="46"/>
      <c r="F771" s="46"/>
      <c r="G771" s="46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</row>
    <row r="772" spans="1:26" ht="18.75" customHeight="1">
      <c r="A772" s="46"/>
      <c r="B772" s="46"/>
      <c r="C772" s="46"/>
      <c r="D772" s="46"/>
      <c r="E772" s="46"/>
      <c r="F772" s="46"/>
      <c r="G772" s="46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</row>
    <row r="773" spans="1:26" ht="18.75" customHeight="1">
      <c r="A773" s="46"/>
      <c r="B773" s="46"/>
      <c r="C773" s="46"/>
      <c r="D773" s="46"/>
      <c r="E773" s="46"/>
      <c r="F773" s="46"/>
      <c r="G773" s="46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</row>
    <row r="774" spans="1:26" ht="18.75" customHeight="1">
      <c r="A774" s="46"/>
      <c r="B774" s="46"/>
      <c r="C774" s="46"/>
      <c r="D774" s="46"/>
      <c r="E774" s="46"/>
      <c r="F774" s="46"/>
      <c r="G774" s="46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</row>
    <row r="775" spans="1:26" ht="18.75" customHeight="1">
      <c r="A775" s="46"/>
      <c r="B775" s="46"/>
      <c r="C775" s="46"/>
      <c r="D775" s="46"/>
      <c r="E775" s="46"/>
      <c r="F775" s="46"/>
      <c r="G775" s="46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</row>
    <row r="776" spans="1:26" ht="18.75" customHeight="1">
      <c r="A776" s="46"/>
      <c r="B776" s="46"/>
      <c r="C776" s="46"/>
      <c r="D776" s="46"/>
      <c r="E776" s="46"/>
      <c r="F776" s="46"/>
      <c r="G776" s="46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</row>
    <row r="777" spans="1:26" ht="18.75" customHeight="1">
      <c r="A777" s="46"/>
      <c r="B777" s="46"/>
      <c r="C777" s="46"/>
      <c r="D777" s="46"/>
      <c r="E777" s="46"/>
      <c r="F777" s="46"/>
      <c r="G777" s="46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</row>
    <row r="778" spans="1:26" ht="18.75" customHeight="1">
      <c r="A778" s="46"/>
      <c r="B778" s="46"/>
      <c r="C778" s="46"/>
      <c r="D778" s="46"/>
      <c r="E778" s="46"/>
      <c r="F778" s="46"/>
      <c r="G778" s="46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</row>
    <row r="779" spans="1:26" ht="18.75" customHeight="1">
      <c r="A779" s="46"/>
      <c r="B779" s="46"/>
      <c r="C779" s="46"/>
      <c r="D779" s="46"/>
      <c r="E779" s="46"/>
      <c r="F779" s="46"/>
      <c r="G779" s="46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</row>
    <row r="780" spans="1:26" ht="18.75" customHeight="1">
      <c r="A780" s="46"/>
      <c r="B780" s="46"/>
      <c r="C780" s="46"/>
      <c r="D780" s="46"/>
      <c r="E780" s="46"/>
      <c r="F780" s="46"/>
      <c r="G780" s="46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</row>
    <row r="781" spans="1:26" ht="18.75" customHeight="1">
      <c r="A781" s="46"/>
      <c r="B781" s="46"/>
      <c r="C781" s="46"/>
      <c r="D781" s="46"/>
      <c r="E781" s="46"/>
      <c r="F781" s="46"/>
      <c r="G781" s="46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</row>
    <row r="782" spans="1:26" ht="18.75" customHeight="1">
      <c r="A782" s="46"/>
      <c r="B782" s="46"/>
      <c r="C782" s="46"/>
      <c r="D782" s="46"/>
      <c r="E782" s="46"/>
      <c r="F782" s="46"/>
      <c r="G782" s="46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</row>
    <row r="783" spans="1:26" ht="18.75" customHeight="1">
      <c r="A783" s="46"/>
      <c r="B783" s="46"/>
      <c r="C783" s="46"/>
      <c r="D783" s="46"/>
      <c r="E783" s="46"/>
      <c r="F783" s="46"/>
      <c r="G783" s="46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</row>
    <row r="784" spans="1:26" ht="18.75" customHeight="1">
      <c r="A784" s="46"/>
      <c r="B784" s="46"/>
      <c r="C784" s="46"/>
      <c r="D784" s="46"/>
      <c r="E784" s="46"/>
      <c r="F784" s="46"/>
      <c r="G784" s="46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</row>
    <row r="785" spans="1:26" ht="18.75" customHeight="1">
      <c r="A785" s="46"/>
      <c r="B785" s="46"/>
      <c r="C785" s="46"/>
      <c r="D785" s="46"/>
      <c r="E785" s="46"/>
      <c r="F785" s="46"/>
      <c r="G785" s="46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</row>
    <row r="786" spans="1:26" ht="18.75" customHeight="1">
      <c r="A786" s="46"/>
      <c r="B786" s="46"/>
      <c r="C786" s="46"/>
      <c r="D786" s="46"/>
      <c r="E786" s="46"/>
      <c r="F786" s="46"/>
      <c r="G786" s="46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</row>
    <row r="787" spans="1:26" ht="18.75" customHeight="1">
      <c r="A787" s="46"/>
      <c r="B787" s="46"/>
      <c r="C787" s="46"/>
      <c r="D787" s="46"/>
      <c r="E787" s="46"/>
      <c r="F787" s="46"/>
      <c r="G787" s="46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</row>
    <row r="788" spans="1:26" ht="18.75" customHeight="1">
      <c r="A788" s="46"/>
      <c r="B788" s="46"/>
      <c r="C788" s="46"/>
      <c r="D788" s="46"/>
      <c r="E788" s="46"/>
      <c r="F788" s="46"/>
      <c r="G788" s="46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</row>
    <row r="789" spans="1:26" ht="18.75" customHeight="1">
      <c r="A789" s="46"/>
      <c r="B789" s="46"/>
      <c r="C789" s="46"/>
      <c r="D789" s="46"/>
      <c r="E789" s="46"/>
      <c r="F789" s="46"/>
      <c r="G789" s="46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</row>
    <row r="790" spans="1:26" ht="18.75" customHeight="1">
      <c r="A790" s="46"/>
      <c r="B790" s="46"/>
      <c r="C790" s="46"/>
      <c r="D790" s="46"/>
      <c r="E790" s="46"/>
      <c r="F790" s="46"/>
      <c r="G790" s="46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</row>
    <row r="791" spans="1:26" ht="18.75" customHeight="1">
      <c r="A791" s="46"/>
      <c r="B791" s="46"/>
      <c r="C791" s="46"/>
      <c r="D791" s="46"/>
      <c r="E791" s="46"/>
      <c r="F791" s="46"/>
      <c r="G791" s="46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</row>
    <row r="792" spans="1:26" ht="18.75" customHeight="1">
      <c r="A792" s="46"/>
      <c r="B792" s="46"/>
      <c r="C792" s="46"/>
      <c r="D792" s="46"/>
      <c r="E792" s="46"/>
      <c r="F792" s="46"/>
      <c r="G792" s="46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</row>
    <row r="793" spans="1:26" ht="18.75" customHeight="1">
      <c r="A793" s="46"/>
      <c r="B793" s="46"/>
      <c r="C793" s="46"/>
      <c r="D793" s="46"/>
      <c r="E793" s="46"/>
      <c r="F793" s="46"/>
      <c r="G793" s="46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</row>
    <row r="794" spans="1:26" ht="18.75" customHeight="1">
      <c r="A794" s="46"/>
      <c r="B794" s="46"/>
      <c r="C794" s="46"/>
      <c r="D794" s="46"/>
      <c r="E794" s="46"/>
      <c r="F794" s="46"/>
      <c r="G794" s="46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</row>
    <row r="795" spans="1:26" ht="18.75" customHeight="1">
      <c r="A795" s="46"/>
      <c r="B795" s="46"/>
      <c r="C795" s="46"/>
      <c r="D795" s="46"/>
      <c r="E795" s="46"/>
      <c r="F795" s="46"/>
      <c r="G795" s="46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</row>
    <row r="796" spans="1:26" ht="18.75" customHeight="1">
      <c r="A796" s="46"/>
      <c r="B796" s="46"/>
      <c r="C796" s="46"/>
      <c r="D796" s="46"/>
      <c r="E796" s="46"/>
      <c r="F796" s="46"/>
      <c r="G796" s="46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</row>
    <row r="797" spans="1:26" ht="18.75" customHeight="1">
      <c r="A797" s="46"/>
      <c r="B797" s="46"/>
      <c r="C797" s="46"/>
      <c r="D797" s="46"/>
      <c r="E797" s="46"/>
      <c r="F797" s="46"/>
      <c r="G797" s="46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</row>
    <row r="798" spans="1:26" ht="18.75" customHeight="1">
      <c r="A798" s="46"/>
      <c r="B798" s="46"/>
      <c r="C798" s="46"/>
      <c r="D798" s="46"/>
      <c r="E798" s="46"/>
      <c r="F798" s="46"/>
      <c r="G798" s="46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</row>
    <row r="799" spans="1:26" ht="18.75" customHeight="1">
      <c r="A799" s="46"/>
      <c r="B799" s="46"/>
      <c r="C799" s="46"/>
      <c r="D799" s="46"/>
      <c r="E799" s="46"/>
      <c r="F799" s="46"/>
      <c r="G799" s="46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</row>
    <row r="800" spans="1:26" ht="18.75" customHeight="1">
      <c r="A800" s="46"/>
      <c r="B800" s="46"/>
      <c r="C800" s="46"/>
      <c r="D800" s="46"/>
      <c r="E800" s="46"/>
      <c r="F800" s="46"/>
      <c r="G800" s="46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</row>
    <row r="801" spans="1:26" ht="18.75" customHeight="1">
      <c r="A801" s="46"/>
      <c r="B801" s="46"/>
      <c r="C801" s="46"/>
      <c r="D801" s="46"/>
      <c r="E801" s="46"/>
      <c r="F801" s="46"/>
      <c r="G801" s="46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</row>
    <row r="802" spans="1:26" ht="18.75" customHeight="1">
      <c r="A802" s="46"/>
      <c r="B802" s="46"/>
      <c r="C802" s="46"/>
      <c r="D802" s="46"/>
      <c r="E802" s="46"/>
      <c r="F802" s="46"/>
      <c r="G802" s="46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</row>
    <row r="803" spans="1:26" ht="18.75" customHeight="1">
      <c r="A803" s="46"/>
      <c r="B803" s="46"/>
      <c r="C803" s="46"/>
      <c r="D803" s="46"/>
      <c r="E803" s="46"/>
      <c r="F803" s="46"/>
      <c r="G803" s="46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</row>
    <row r="804" spans="1:26" ht="18.75" customHeight="1">
      <c r="A804" s="46"/>
      <c r="B804" s="46"/>
      <c r="C804" s="46"/>
      <c r="D804" s="46"/>
      <c r="E804" s="46"/>
      <c r="F804" s="46"/>
      <c r="G804" s="46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</row>
    <row r="805" spans="1:26" ht="18.75" customHeight="1">
      <c r="A805" s="46"/>
      <c r="B805" s="46"/>
      <c r="C805" s="46"/>
      <c r="D805" s="46"/>
      <c r="E805" s="46"/>
      <c r="F805" s="46"/>
      <c r="G805" s="46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</row>
    <row r="806" spans="1:26" ht="18.75" customHeight="1">
      <c r="A806" s="46"/>
      <c r="B806" s="46"/>
      <c r="C806" s="46"/>
      <c r="D806" s="46"/>
      <c r="E806" s="46"/>
      <c r="F806" s="46"/>
      <c r="G806" s="46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</row>
    <row r="807" spans="1:26" ht="18.75" customHeight="1">
      <c r="A807" s="46"/>
      <c r="B807" s="46"/>
      <c r="C807" s="46"/>
      <c r="D807" s="46"/>
      <c r="E807" s="46"/>
      <c r="F807" s="46"/>
      <c r="G807" s="46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</row>
    <row r="808" spans="1:26" ht="18.75" customHeight="1">
      <c r="A808" s="46"/>
      <c r="B808" s="46"/>
      <c r="C808" s="46"/>
      <c r="D808" s="46"/>
      <c r="E808" s="46"/>
      <c r="F808" s="46"/>
      <c r="G808" s="46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</row>
    <row r="809" spans="1:26" ht="18.75" customHeight="1">
      <c r="A809" s="46"/>
      <c r="B809" s="46"/>
      <c r="C809" s="46"/>
      <c r="D809" s="46"/>
      <c r="E809" s="46"/>
      <c r="F809" s="46"/>
      <c r="G809" s="46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</row>
    <row r="810" spans="1:26" ht="18.75" customHeight="1">
      <c r="A810" s="46"/>
      <c r="B810" s="46"/>
      <c r="C810" s="46"/>
      <c r="D810" s="46"/>
      <c r="E810" s="46"/>
      <c r="F810" s="46"/>
      <c r="G810" s="46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</row>
    <row r="811" spans="1:26" ht="18.75" customHeight="1">
      <c r="A811" s="46"/>
      <c r="B811" s="46"/>
      <c r="C811" s="46"/>
      <c r="D811" s="46"/>
      <c r="E811" s="46"/>
      <c r="F811" s="46"/>
      <c r="G811" s="46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</row>
    <row r="812" spans="1:26" ht="18.75" customHeight="1">
      <c r="A812" s="46"/>
      <c r="B812" s="46"/>
      <c r="C812" s="46"/>
      <c r="D812" s="46"/>
      <c r="E812" s="46"/>
      <c r="F812" s="46"/>
      <c r="G812" s="46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</row>
    <row r="813" spans="1:26" ht="18.75" customHeight="1">
      <c r="A813" s="46"/>
      <c r="B813" s="46"/>
      <c r="C813" s="46"/>
      <c r="D813" s="46"/>
      <c r="E813" s="46"/>
      <c r="F813" s="46"/>
      <c r="G813" s="46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</row>
    <row r="814" spans="1:26" ht="18.75" customHeight="1">
      <c r="A814" s="46"/>
      <c r="B814" s="46"/>
      <c r="C814" s="46"/>
      <c r="D814" s="46"/>
      <c r="E814" s="46"/>
      <c r="F814" s="46"/>
      <c r="G814" s="46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</row>
    <row r="815" spans="1:26" ht="18.75" customHeight="1">
      <c r="A815" s="46"/>
      <c r="B815" s="46"/>
      <c r="C815" s="46"/>
      <c r="D815" s="46"/>
      <c r="E815" s="46"/>
      <c r="F815" s="46"/>
      <c r="G815" s="46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</row>
    <row r="816" spans="1:26" ht="18.75" customHeight="1">
      <c r="A816" s="46"/>
      <c r="B816" s="46"/>
      <c r="C816" s="46"/>
      <c r="D816" s="46"/>
      <c r="E816" s="46"/>
      <c r="F816" s="46"/>
      <c r="G816" s="46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</row>
    <row r="817" spans="1:26" ht="18.75" customHeight="1">
      <c r="A817" s="46"/>
      <c r="B817" s="46"/>
      <c r="C817" s="46"/>
      <c r="D817" s="46"/>
      <c r="E817" s="46"/>
      <c r="F817" s="46"/>
      <c r="G817" s="46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</row>
    <row r="818" spans="1:26" ht="18.75" customHeight="1">
      <c r="A818" s="46"/>
      <c r="B818" s="46"/>
      <c r="C818" s="46"/>
      <c r="D818" s="46"/>
      <c r="E818" s="46"/>
      <c r="F818" s="46"/>
      <c r="G818" s="46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</row>
    <row r="819" spans="1:26" ht="18.75" customHeight="1">
      <c r="A819" s="46"/>
      <c r="B819" s="46"/>
      <c r="C819" s="46"/>
      <c r="D819" s="46"/>
      <c r="E819" s="46"/>
      <c r="F819" s="46"/>
      <c r="G819" s="46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</row>
    <row r="820" spans="1:26" ht="18.75" customHeight="1">
      <c r="A820" s="46"/>
      <c r="B820" s="46"/>
      <c r="C820" s="46"/>
      <c r="D820" s="46"/>
      <c r="E820" s="46"/>
      <c r="F820" s="46"/>
      <c r="G820" s="46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</row>
    <row r="821" spans="1:26" ht="18.75" customHeight="1">
      <c r="A821" s="46"/>
      <c r="B821" s="46"/>
      <c r="C821" s="46"/>
      <c r="D821" s="46"/>
      <c r="E821" s="46"/>
      <c r="F821" s="46"/>
      <c r="G821" s="46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</row>
    <row r="822" spans="1:26" ht="18.75" customHeight="1">
      <c r="A822" s="46"/>
      <c r="B822" s="46"/>
      <c r="C822" s="46"/>
      <c r="D822" s="46"/>
      <c r="E822" s="46"/>
      <c r="F822" s="46"/>
      <c r="G822" s="46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</row>
    <row r="823" spans="1:26" ht="18.75" customHeight="1">
      <c r="A823" s="46"/>
      <c r="B823" s="46"/>
      <c r="C823" s="46"/>
      <c r="D823" s="46"/>
      <c r="E823" s="46"/>
      <c r="F823" s="46"/>
      <c r="G823" s="46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</row>
    <row r="824" spans="1:26" ht="18.75" customHeight="1">
      <c r="A824" s="46"/>
      <c r="B824" s="46"/>
      <c r="C824" s="46"/>
      <c r="D824" s="46"/>
      <c r="E824" s="46"/>
      <c r="F824" s="46"/>
      <c r="G824" s="46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</row>
    <row r="825" spans="1:26" ht="18.75" customHeight="1">
      <c r="A825" s="46"/>
      <c r="B825" s="46"/>
      <c r="C825" s="46"/>
      <c r="D825" s="46"/>
      <c r="E825" s="46"/>
      <c r="F825" s="46"/>
      <c r="G825" s="46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</row>
    <row r="826" spans="1:26" ht="18.75" customHeight="1">
      <c r="A826" s="46"/>
      <c r="B826" s="46"/>
      <c r="C826" s="46"/>
      <c r="D826" s="46"/>
      <c r="E826" s="46"/>
      <c r="F826" s="46"/>
      <c r="G826" s="46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</row>
    <row r="827" spans="1:26" ht="18.75" customHeight="1">
      <c r="A827" s="46"/>
      <c r="B827" s="46"/>
      <c r="C827" s="46"/>
      <c r="D827" s="46"/>
      <c r="E827" s="46"/>
      <c r="F827" s="46"/>
      <c r="G827" s="46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</row>
    <row r="828" spans="1:26" ht="18.75" customHeight="1">
      <c r="A828" s="46"/>
      <c r="B828" s="46"/>
      <c r="C828" s="46"/>
      <c r="D828" s="46"/>
      <c r="E828" s="46"/>
      <c r="F828" s="46"/>
      <c r="G828" s="46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</row>
    <row r="829" spans="1:26" ht="18.75" customHeight="1">
      <c r="A829" s="46"/>
      <c r="B829" s="46"/>
      <c r="C829" s="46"/>
      <c r="D829" s="46"/>
      <c r="E829" s="46"/>
      <c r="F829" s="46"/>
      <c r="G829" s="46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</row>
    <row r="830" spans="1:26" ht="18.75" customHeight="1">
      <c r="A830" s="46"/>
      <c r="B830" s="46"/>
      <c r="C830" s="46"/>
      <c r="D830" s="46"/>
      <c r="E830" s="46"/>
      <c r="F830" s="46"/>
      <c r="G830" s="46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</row>
    <row r="831" spans="1:26" ht="18.75" customHeight="1">
      <c r="A831" s="46"/>
      <c r="B831" s="46"/>
      <c r="C831" s="46"/>
      <c r="D831" s="46"/>
      <c r="E831" s="46"/>
      <c r="F831" s="46"/>
      <c r="G831" s="46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</row>
    <row r="832" spans="1:26" ht="18.75" customHeight="1">
      <c r="A832" s="46"/>
      <c r="B832" s="46"/>
      <c r="C832" s="46"/>
      <c r="D832" s="46"/>
      <c r="E832" s="46"/>
      <c r="F832" s="46"/>
      <c r="G832" s="46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</row>
    <row r="833" spans="1:26" ht="18.75" customHeight="1">
      <c r="A833" s="46"/>
      <c r="B833" s="46"/>
      <c r="C833" s="46"/>
      <c r="D833" s="46"/>
      <c r="E833" s="46"/>
      <c r="F833" s="46"/>
      <c r="G833" s="46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</row>
    <row r="834" spans="1:26" ht="18.75" customHeight="1">
      <c r="A834" s="46"/>
      <c r="B834" s="46"/>
      <c r="C834" s="46"/>
      <c r="D834" s="46"/>
      <c r="E834" s="46"/>
      <c r="F834" s="46"/>
      <c r="G834" s="46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</row>
    <row r="835" spans="1:26" ht="18.75" customHeight="1">
      <c r="A835" s="46"/>
      <c r="B835" s="46"/>
      <c r="C835" s="46"/>
      <c r="D835" s="46"/>
      <c r="E835" s="46"/>
      <c r="F835" s="46"/>
      <c r="G835" s="46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</row>
    <row r="836" spans="1:26" ht="18.75" customHeight="1">
      <c r="A836" s="46"/>
      <c r="B836" s="46"/>
      <c r="C836" s="46"/>
      <c r="D836" s="46"/>
      <c r="E836" s="46"/>
      <c r="F836" s="46"/>
      <c r="G836" s="46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</row>
    <row r="837" spans="1:26" ht="18.75" customHeight="1">
      <c r="A837" s="46"/>
      <c r="B837" s="46"/>
      <c r="C837" s="46"/>
      <c r="D837" s="46"/>
      <c r="E837" s="46"/>
      <c r="F837" s="46"/>
      <c r="G837" s="46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</row>
    <row r="838" spans="1:26" ht="18.75" customHeight="1">
      <c r="A838" s="46"/>
      <c r="B838" s="46"/>
      <c r="C838" s="46"/>
      <c r="D838" s="46"/>
      <c r="E838" s="46"/>
      <c r="F838" s="46"/>
      <c r="G838" s="46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</row>
    <row r="839" spans="1:26" ht="18.75" customHeight="1">
      <c r="A839" s="46"/>
      <c r="B839" s="46"/>
      <c r="C839" s="46"/>
      <c r="D839" s="46"/>
      <c r="E839" s="46"/>
      <c r="F839" s="46"/>
      <c r="G839" s="46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</row>
    <row r="840" spans="1:26" ht="18.75" customHeight="1">
      <c r="A840" s="46"/>
      <c r="B840" s="46"/>
      <c r="C840" s="46"/>
      <c r="D840" s="46"/>
      <c r="E840" s="46"/>
      <c r="F840" s="46"/>
      <c r="G840" s="46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</row>
    <row r="841" spans="1:26" ht="18.75" customHeight="1">
      <c r="A841" s="46"/>
      <c r="B841" s="46"/>
      <c r="C841" s="46"/>
      <c r="D841" s="46"/>
      <c r="E841" s="46"/>
      <c r="F841" s="46"/>
      <c r="G841" s="46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</row>
    <row r="842" spans="1:26" ht="18.75" customHeight="1">
      <c r="A842" s="46"/>
      <c r="B842" s="46"/>
      <c r="C842" s="46"/>
      <c r="D842" s="46"/>
      <c r="E842" s="46"/>
      <c r="F842" s="46"/>
      <c r="G842" s="46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</row>
    <row r="843" spans="1:26" ht="18.75" customHeight="1">
      <c r="A843" s="46"/>
      <c r="B843" s="46"/>
      <c r="C843" s="46"/>
      <c r="D843" s="46"/>
      <c r="E843" s="46"/>
      <c r="F843" s="46"/>
      <c r="G843" s="46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</row>
    <row r="844" spans="1:26" ht="18.75" customHeight="1">
      <c r="A844" s="46"/>
      <c r="B844" s="46"/>
      <c r="C844" s="46"/>
      <c r="D844" s="46"/>
      <c r="E844" s="46"/>
      <c r="F844" s="46"/>
      <c r="G844" s="46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</row>
    <row r="845" spans="1:26" ht="18.75" customHeight="1">
      <c r="A845" s="46"/>
      <c r="B845" s="46"/>
      <c r="C845" s="46"/>
      <c r="D845" s="46"/>
      <c r="E845" s="46"/>
      <c r="F845" s="46"/>
      <c r="G845" s="46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</row>
    <row r="846" spans="1:26" ht="18.75" customHeight="1">
      <c r="A846" s="46"/>
      <c r="B846" s="46"/>
      <c r="C846" s="46"/>
      <c r="D846" s="46"/>
      <c r="E846" s="46"/>
      <c r="F846" s="46"/>
      <c r="G846" s="46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</row>
    <row r="847" spans="1:26" ht="18.75" customHeight="1">
      <c r="A847" s="46"/>
      <c r="B847" s="46"/>
      <c r="C847" s="46"/>
      <c r="D847" s="46"/>
      <c r="E847" s="46"/>
      <c r="F847" s="46"/>
      <c r="G847" s="46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</row>
    <row r="848" spans="1:26" ht="18.75" customHeight="1">
      <c r="A848" s="46"/>
      <c r="B848" s="46"/>
      <c r="C848" s="46"/>
      <c r="D848" s="46"/>
      <c r="E848" s="46"/>
      <c r="F848" s="46"/>
      <c r="G848" s="46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</row>
    <row r="849" spans="1:26" ht="18.75" customHeight="1">
      <c r="A849" s="46"/>
      <c r="B849" s="46"/>
      <c r="C849" s="46"/>
      <c r="D849" s="46"/>
      <c r="E849" s="46"/>
      <c r="F849" s="46"/>
      <c r="G849" s="46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</row>
    <row r="850" spans="1:26" ht="18.75" customHeight="1">
      <c r="A850" s="46"/>
      <c r="B850" s="46"/>
      <c r="C850" s="46"/>
      <c r="D850" s="46"/>
      <c r="E850" s="46"/>
      <c r="F850" s="46"/>
      <c r="G850" s="46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</row>
    <row r="851" spans="1:26" ht="18.75" customHeight="1">
      <c r="A851" s="46"/>
      <c r="B851" s="46"/>
      <c r="C851" s="46"/>
      <c r="D851" s="46"/>
      <c r="E851" s="46"/>
      <c r="F851" s="46"/>
      <c r="G851" s="46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</row>
    <row r="852" spans="1:26" ht="18.75" customHeight="1">
      <c r="A852" s="46"/>
      <c r="B852" s="46"/>
      <c r="C852" s="46"/>
      <c r="D852" s="46"/>
      <c r="E852" s="46"/>
      <c r="F852" s="46"/>
      <c r="G852" s="46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</row>
    <row r="853" spans="1:26" ht="18.75" customHeight="1">
      <c r="A853" s="46"/>
      <c r="B853" s="46"/>
      <c r="C853" s="46"/>
      <c r="D853" s="46"/>
      <c r="E853" s="46"/>
      <c r="F853" s="46"/>
      <c r="G853" s="46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</row>
    <row r="854" spans="1:26" ht="18.75" customHeight="1">
      <c r="A854" s="46"/>
      <c r="B854" s="46"/>
      <c r="C854" s="46"/>
      <c r="D854" s="46"/>
      <c r="E854" s="46"/>
      <c r="F854" s="46"/>
      <c r="G854" s="46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</row>
    <row r="855" spans="1:26" ht="18.75" customHeight="1">
      <c r="A855" s="46"/>
      <c r="B855" s="46"/>
      <c r="C855" s="46"/>
      <c r="D855" s="46"/>
      <c r="E855" s="46"/>
      <c r="F855" s="46"/>
      <c r="G855" s="46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</row>
    <row r="856" spans="1:26" ht="18.75" customHeight="1">
      <c r="A856" s="46"/>
      <c r="B856" s="46"/>
      <c r="C856" s="46"/>
      <c r="D856" s="46"/>
      <c r="E856" s="46"/>
      <c r="F856" s="46"/>
      <c r="G856" s="46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</row>
    <row r="857" spans="1:26" ht="18.75" customHeight="1">
      <c r="A857" s="46"/>
      <c r="B857" s="46"/>
      <c r="C857" s="46"/>
      <c r="D857" s="46"/>
      <c r="E857" s="46"/>
      <c r="F857" s="46"/>
      <c r="G857" s="46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</row>
    <row r="858" spans="1:26" ht="18.75" customHeight="1">
      <c r="A858" s="46"/>
      <c r="B858" s="46"/>
      <c r="C858" s="46"/>
      <c r="D858" s="46"/>
      <c r="E858" s="46"/>
      <c r="F858" s="46"/>
      <c r="G858" s="46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</row>
    <row r="859" spans="1:26" ht="18.75" customHeight="1">
      <c r="A859" s="46"/>
      <c r="B859" s="46"/>
      <c r="C859" s="46"/>
      <c r="D859" s="46"/>
      <c r="E859" s="46"/>
      <c r="F859" s="46"/>
      <c r="G859" s="46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</row>
    <row r="860" spans="1:26" ht="18.75" customHeight="1">
      <c r="A860" s="46"/>
      <c r="B860" s="46"/>
      <c r="C860" s="46"/>
      <c r="D860" s="46"/>
      <c r="E860" s="46"/>
      <c r="F860" s="46"/>
      <c r="G860" s="46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</row>
    <row r="861" spans="1:26" ht="18.75" customHeight="1">
      <c r="A861" s="46"/>
      <c r="B861" s="46"/>
      <c r="C861" s="46"/>
      <c r="D861" s="46"/>
      <c r="E861" s="46"/>
      <c r="F861" s="46"/>
      <c r="G861" s="46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</row>
    <row r="862" spans="1:26" ht="18.75" customHeight="1">
      <c r="A862" s="46"/>
      <c r="B862" s="46"/>
      <c r="C862" s="46"/>
      <c r="D862" s="46"/>
      <c r="E862" s="46"/>
      <c r="F862" s="46"/>
      <c r="G862" s="46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</row>
    <row r="863" spans="1:26" ht="18.75" customHeight="1">
      <c r="A863" s="46"/>
      <c r="B863" s="46"/>
      <c r="C863" s="46"/>
      <c r="D863" s="46"/>
      <c r="E863" s="46"/>
      <c r="F863" s="46"/>
      <c r="G863" s="46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</row>
    <row r="864" spans="1:26" ht="18.75" customHeight="1">
      <c r="A864" s="46"/>
      <c r="B864" s="46"/>
      <c r="C864" s="46"/>
      <c r="D864" s="46"/>
      <c r="E864" s="46"/>
      <c r="F864" s="46"/>
      <c r="G864" s="46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</row>
    <row r="865" spans="1:26" ht="18.75" customHeight="1">
      <c r="A865" s="46"/>
      <c r="B865" s="46"/>
      <c r="C865" s="46"/>
      <c r="D865" s="46"/>
      <c r="E865" s="46"/>
      <c r="F865" s="46"/>
      <c r="G865" s="46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</row>
    <row r="866" spans="1:26" ht="18.75" customHeight="1">
      <c r="A866" s="46"/>
      <c r="B866" s="46"/>
      <c r="C866" s="46"/>
      <c r="D866" s="46"/>
      <c r="E866" s="46"/>
      <c r="F866" s="46"/>
      <c r="G866" s="46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</row>
    <row r="867" spans="1:26" ht="18.75" customHeight="1">
      <c r="A867" s="46"/>
      <c r="B867" s="46"/>
      <c r="C867" s="46"/>
      <c r="D867" s="46"/>
      <c r="E867" s="46"/>
      <c r="F867" s="46"/>
      <c r="G867" s="46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</row>
    <row r="868" spans="1:26" ht="18.75" customHeight="1">
      <c r="A868" s="46"/>
      <c r="B868" s="46"/>
      <c r="C868" s="46"/>
      <c r="D868" s="46"/>
      <c r="E868" s="46"/>
      <c r="F868" s="46"/>
      <c r="G868" s="46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</row>
    <row r="869" spans="1:26" ht="18.75" customHeight="1">
      <c r="A869" s="46"/>
      <c r="B869" s="46"/>
      <c r="C869" s="46"/>
      <c r="D869" s="46"/>
      <c r="E869" s="46"/>
      <c r="F869" s="46"/>
      <c r="G869" s="46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</row>
    <row r="870" spans="1:26" ht="18.75" customHeight="1">
      <c r="A870" s="46"/>
      <c r="B870" s="46"/>
      <c r="C870" s="46"/>
      <c r="D870" s="46"/>
      <c r="E870" s="46"/>
      <c r="F870" s="46"/>
      <c r="G870" s="46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</row>
    <row r="871" spans="1:26" ht="18.75" customHeight="1">
      <c r="A871" s="46"/>
      <c r="B871" s="46"/>
      <c r="C871" s="46"/>
      <c r="D871" s="46"/>
      <c r="E871" s="46"/>
      <c r="F871" s="46"/>
      <c r="G871" s="46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</row>
    <row r="872" spans="1:26" ht="18.75" customHeight="1">
      <c r="A872" s="46"/>
      <c r="B872" s="46"/>
      <c r="C872" s="46"/>
      <c r="D872" s="46"/>
      <c r="E872" s="46"/>
      <c r="F872" s="46"/>
      <c r="G872" s="46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</row>
    <row r="873" spans="1:26" ht="18.75" customHeight="1">
      <c r="A873" s="46"/>
      <c r="B873" s="46"/>
      <c r="C873" s="46"/>
      <c r="D873" s="46"/>
      <c r="E873" s="46"/>
      <c r="F873" s="46"/>
      <c r="G873" s="46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</row>
    <row r="874" spans="1:26" ht="18.75" customHeight="1">
      <c r="A874" s="46"/>
      <c r="B874" s="46"/>
      <c r="C874" s="46"/>
      <c r="D874" s="46"/>
      <c r="E874" s="46"/>
      <c r="F874" s="46"/>
      <c r="G874" s="46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</row>
    <row r="875" spans="1:26" ht="18.75" customHeight="1">
      <c r="A875" s="46"/>
      <c r="B875" s="46"/>
      <c r="C875" s="46"/>
      <c r="D875" s="46"/>
      <c r="E875" s="46"/>
      <c r="F875" s="46"/>
      <c r="G875" s="46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</row>
    <row r="876" spans="1:26" ht="18.75" customHeight="1">
      <c r="A876" s="46"/>
      <c r="B876" s="46"/>
      <c r="C876" s="46"/>
      <c r="D876" s="46"/>
      <c r="E876" s="46"/>
      <c r="F876" s="46"/>
      <c r="G876" s="46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</row>
    <row r="877" spans="1:26" ht="18.75" customHeight="1">
      <c r="A877" s="46"/>
      <c r="B877" s="46"/>
      <c r="C877" s="46"/>
      <c r="D877" s="46"/>
      <c r="E877" s="46"/>
      <c r="F877" s="46"/>
      <c r="G877" s="46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</row>
    <row r="878" spans="1:26" ht="18.75" customHeight="1">
      <c r="A878" s="46"/>
      <c r="B878" s="46"/>
      <c r="C878" s="46"/>
      <c r="D878" s="46"/>
      <c r="E878" s="46"/>
      <c r="F878" s="46"/>
      <c r="G878" s="46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</row>
    <row r="879" spans="1:26" ht="18.75" customHeight="1">
      <c r="A879" s="46"/>
      <c r="B879" s="46"/>
      <c r="C879" s="46"/>
      <c r="D879" s="46"/>
      <c r="E879" s="46"/>
      <c r="F879" s="46"/>
      <c r="G879" s="46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</row>
    <row r="880" spans="1:26" ht="18.75" customHeight="1">
      <c r="A880" s="46"/>
      <c r="B880" s="46"/>
      <c r="C880" s="46"/>
      <c r="D880" s="46"/>
      <c r="E880" s="46"/>
      <c r="F880" s="46"/>
      <c r="G880" s="46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</row>
    <row r="881" spans="1:26" ht="18.75" customHeight="1">
      <c r="A881" s="46"/>
      <c r="B881" s="46"/>
      <c r="C881" s="46"/>
      <c r="D881" s="46"/>
      <c r="E881" s="46"/>
      <c r="F881" s="46"/>
      <c r="G881" s="46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</row>
    <row r="882" spans="1:26" ht="18.75" customHeight="1">
      <c r="A882" s="46"/>
      <c r="B882" s="46"/>
      <c r="C882" s="46"/>
      <c r="D882" s="46"/>
      <c r="E882" s="46"/>
      <c r="F882" s="46"/>
      <c r="G882" s="46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</row>
    <row r="883" spans="1:26" ht="18.75" customHeight="1">
      <c r="A883" s="46"/>
      <c r="B883" s="46"/>
      <c r="C883" s="46"/>
      <c r="D883" s="46"/>
      <c r="E883" s="46"/>
      <c r="F883" s="46"/>
      <c r="G883" s="46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</row>
    <row r="884" spans="1:26" ht="18.75" customHeight="1">
      <c r="A884" s="46"/>
      <c r="B884" s="46"/>
      <c r="C884" s="46"/>
      <c r="D884" s="46"/>
      <c r="E884" s="46"/>
      <c r="F884" s="46"/>
      <c r="G884" s="46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</row>
    <row r="885" spans="1:26" ht="18.75" customHeight="1">
      <c r="A885" s="46"/>
      <c r="B885" s="46"/>
      <c r="C885" s="46"/>
      <c r="D885" s="46"/>
      <c r="E885" s="46"/>
      <c r="F885" s="46"/>
      <c r="G885" s="46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</row>
    <row r="886" spans="1:26" ht="18.75" customHeight="1">
      <c r="A886" s="46"/>
      <c r="B886" s="46"/>
      <c r="C886" s="46"/>
      <c r="D886" s="46"/>
      <c r="E886" s="46"/>
      <c r="F886" s="46"/>
      <c r="G886" s="46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</row>
    <row r="887" spans="1:26" ht="18.75" customHeight="1">
      <c r="A887" s="46"/>
      <c r="B887" s="46"/>
      <c r="C887" s="46"/>
      <c r="D887" s="46"/>
      <c r="E887" s="46"/>
      <c r="F887" s="46"/>
      <c r="G887" s="46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</row>
    <row r="888" spans="1:26" ht="18.75" customHeight="1">
      <c r="A888" s="46"/>
      <c r="B888" s="46"/>
      <c r="C888" s="46"/>
      <c r="D888" s="46"/>
      <c r="E888" s="46"/>
      <c r="F888" s="46"/>
      <c r="G888" s="46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</row>
    <row r="889" spans="1:26" ht="18.75" customHeight="1">
      <c r="A889" s="46"/>
      <c r="B889" s="46"/>
      <c r="C889" s="46"/>
      <c r="D889" s="46"/>
      <c r="E889" s="46"/>
      <c r="F889" s="46"/>
      <c r="G889" s="46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</row>
    <row r="890" spans="1:26" ht="18.75" customHeight="1">
      <c r="A890" s="46"/>
      <c r="B890" s="46"/>
      <c r="C890" s="46"/>
      <c r="D890" s="46"/>
      <c r="E890" s="46"/>
      <c r="F890" s="46"/>
      <c r="G890" s="46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</row>
    <row r="891" spans="1:26" ht="18.75" customHeight="1">
      <c r="A891" s="46"/>
      <c r="B891" s="46"/>
      <c r="C891" s="46"/>
      <c r="D891" s="46"/>
      <c r="E891" s="46"/>
      <c r="F891" s="46"/>
      <c r="G891" s="46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</row>
    <row r="892" spans="1:26" ht="18.75" customHeight="1">
      <c r="A892" s="46"/>
      <c r="B892" s="46"/>
      <c r="C892" s="46"/>
      <c r="D892" s="46"/>
      <c r="E892" s="46"/>
      <c r="F892" s="46"/>
      <c r="G892" s="46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</row>
    <row r="893" spans="1:26" ht="18.75" customHeight="1">
      <c r="A893" s="46"/>
      <c r="B893" s="46"/>
      <c r="C893" s="46"/>
      <c r="D893" s="46"/>
      <c r="E893" s="46"/>
      <c r="F893" s="46"/>
      <c r="G893" s="46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</row>
    <row r="894" spans="1:26" ht="18.75" customHeight="1">
      <c r="A894" s="46"/>
      <c r="B894" s="46"/>
      <c r="C894" s="46"/>
      <c r="D894" s="46"/>
      <c r="E894" s="46"/>
      <c r="F894" s="46"/>
      <c r="G894" s="46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</row>
    <row r="895" spans="1:26" ht="18.75" customHeight="1">
      <c r="A895" s="46"/>
      <c r="B895" s="46"/>
      <c r="C895" s="46"/>
      <c r="D895" s="46"/>
      <c r="E895" s="46"/>
      <c r="F895" s="46"/>
      <c r="G895" s="46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</row>
    <row r="896" spans="1:26" ht="18.75" customHeight="1">
      <c r="A896" s="46"/>
      <c r="B896" s="46"/>
      <c r="C896" s="46"/>
      <c r="D896" s="46"/>
      <c r="E896" s="46"/>
      <c r="F896" s="46"/>
      <c r="G896" s="46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</row>
    <row r="897" spans="1:26" ht="18.75" customHeight="1">
      <c r="A897" s="46"/>
      <c r="B897" s="46"/>
      <c r="C897" s="46"/>
      <c r="D897" s="46"/>
      <c r="E897" s="46"/>
      <c r="F897" s="46"/>
      <c r="G897" s="46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</row>
    <row r="898" spans="1:26" ht="18.75" customHeight="1">
      <c r="A898" s="46"/>
      <c r="B898" s="46"/>
      <c r="C898" s="46"/>
      <c r="D898" s="46"/>
      <c r="E898" s="46"/>
      <c r="F898" s="46"/>
      <c r="G898" s="46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</row>
    <row r="899" spans="1:26" ht="18.75" customHeight="1">
      <c r="A899" s="46"/>
      <c r="B899" s="46"/>
      <c r="C899" s="46"/>
      <c r="D899" s="46"/>
      <c r="E899" s="46"/>
      <c r="F899" s="46"/>
      <c r="G899" s="46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</row>
    <row r="900" spans="1:26" ht="18.75" customHeight="1">
      <c r="A900" s="46"/>
      <c r="B900" s="46"/>
      <c r="C900" s="46"/>
      <c r="D900" s="46"/>
      <c r="E900" s="46"/>
      <c r="F900" s="46"/>
      <c r="G900" s="46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</row>
    <row r="901" spans="1:26" ht="18.75" customHeight="1">
      <c r="A901" s="46"/>
      <c r="B901" s="46"/>
      <c r="C901" s="46"/>
      <c r="D901" s="46"/>
      <c r="E901" s="46"/>
      <c r="F901" s="46"/>
      <c r="G901" s="46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</row>
    <row r="902" spans="1:26" ht="18.75" customHeight="1">
      <c r="A902" s="46"/>
      <c r="B902" s="46"/>
      <c r="C902" s="46"/>
      <c r="D902" s="46"/>
      <c r="E902" s="46"/>
      <c r="F902" s="46"/>
      <c r="G902" s="46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</row>
    <row r="903" spans="1:26" ht="18.75" customHeight="1">
      <c r="A903" s="46"/>
      <c r="B903" s="46"/>
      <c r="C903" s="46"/>
      <c r="D903" s="46"/>
      <c r="E903" s="46"/>
      <c r="F903" s="46"/>
      <c r="G903" s="46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</row>
    <row r="904" spans="1:26" ht="18.75" customHeight="1">
      <c r="A904" s="46"/>
      <c r="B904" s="46"/>
      <c r="C904" s="46"/>
      <c r="D904" s="46"/>
      <c r="E904" s="46"/>
      <c r="F904" s="46"/>
      <c r="G904" s="46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</row>
    <row r="905" spans="1:26" ht="18.75" customHeight="1">
      <c r="A905" s="46"/>
      <c r="B905" s="46"/>
      <c r="C905" s="46"/>
      <c r="D905" s="46"/>
      <c r="E905" s="46"/>
      <c r="F905" s="46"/>
      <c r="G905" s="46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</row>
    <row r="906" spans="1:26" ht="18.75" customHeight="1">
      <c r="A906" s="46"/>
      <c r="B906" s="46"/>
      <c r="C906" s="46"/>
      <c r="D906" s="46"/>
      <c r="E906" s="46"/>
      <c r="F906" s="46"/>
      <c r="G906" s="46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</row>
    <row r="907" spans="1:26" ht="18.75" customHeight="1">
      <c r="A907" s="46"/>
      <c r="B907" s="46"/>
      <c r="C907" s="46"/>
      <c r="D907" s="46"/>
      <c r="E907" s="46"/>
      <c r="F907" s="46"/>
      <c r="G907" s="46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</row>
    <row r="908" spans="1:26" ht="18.75" customHeight="1">
      <c r="A908" s="46"/>
      <c r="B908" s="46"/>
      <c r="C908" s="46"/>
      <c r="D908" s="46"/>
      <c r="E908" s="46"/>
      <c r="F908" s="46"/>
      <c r="G908" s="46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</row>
    <row r="909" spans="1:26" ht="18.75" customHeight="1">
      <c r="A909" s="46"/>
      <c r="B909" s="46"/>
      <c r="C909" s="46"/>
      <c r="D909" s="46"/>
      <c r="E909" s="46"/>
      <c r="F909" s="46"/>
      <c r="G909" s="46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</row>
    <row r="910" spans="1:26" ht="18.75" customHeight="1">
      <c r="A910" s="46"/>
      <c r="B910" s="46"/>
      <c r="C910" s="46"/>
      <c r="D910" s="46"/>
      <c r="E910" s="46"/>
      <c r="F910" s="46"/>
      <c r="G910" s="46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</row>
    <row r="911" spans="1:26" ht="18.75" customHeight="1">
      <c r="A911" s="46"/>
      <c r="B911" s="46"/>
      <c r="C911" s="46"/>
      <c r="D911" s="46"/>
      <c r="E911" s="46"/>
      <c r="F911" s="46"/>
      <c r="G911" s="46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</row>
    <row r="912" spans="1:26" ht="18.75" customHeight="1">
      <c r="A912" s="46"/>
      <c r="B912" s="46"/>
      <c r="C912" s="46"/>
      <c r="D912" s="46"/>
      <c r="E912" s="46"/>
      <c r="F912" s="46"/>
      <c r="G912" s="46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</row>
    <row r="913" spans="1:26" ht="18.75" customHeight="1">
      <c r="A913" s="46"/>
      <c r="B913" s="46"/>
      <c r="C913" s="46"/>
      <c r="D913" s="46"/>
      <c r="E913" s="46"/>
      <c r="F913" s="46"/>
      <c r="G913" s="46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</row>
    <row r="914" spans="1:26" ht="18.75" customHeight="1">
      <c r="A914" s="46"/>
      <c r="B914" s="46"/>
      <c r="C914" s="46"/>
      <c r="D914" s="46"/>
      <c r="E914" s="46"/>
      <c r="F914" s="46"/>
      <c r="G914" s="46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</row>
    <row r="915" spans="1:26" ht="18.75" customHeight="1">
      <c r="A915" s="46"/>
      <c r="B915" s="46"/>
      <c r="C915" s="46"/>
      <c r="D915" s="46"/>
      <c r="E915" s="46"/>
      <c r="F915" s="46"/>
      <c r="G915" s="46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</row>
    <row r="916" spans="1:26" ht="18.75" customHeight="1">
      <c r="A916" s="46"/>
      <c r="B916" s="46"/>
      <c r="C916" s="46"/>
      <c r="D916" s="46"/>
      <c r="E916" s="46"/>
      <c r="F916" s="46"/>
      <c r="G916" s="46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</row>
    <row r="917" spans="1:26" ht="18.75" customHeight="1">
      <c r="A917" s="46"/>
      <c r="B917" s="46"/>
      <c r="C917" s="46"/>
      <c r="D917" s="46"/>
      <c r="E917" s="46"/>
      <c r="F917" s="46"/>
      <c r="G917" s="46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</row>
    <row r="918" spans="1:26" ht="18.75" customHeight="1">
      <c r="A918" s="46"/>
      <c r="B918" s="46"/>
      <c r="C918" s="46"/>
      <c r="D918" s="46"/>
      <c r="E918" s="46"/>
      <c r="F918" s="46"/>
      <c r="G918" s="46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</row>
    <row r="919" spans="1:26" ht="18.75" customHeight="1">
      <c r="A919" s="46"/>
      <c r="B919" s="46"/>
      <c r="C919" s="46"/>
      <c r="D919" s="46"/>
      <c r="E919" s="46"/>
      <c r="F919" s="46"/>
      <c r="G919" s="46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</row>
    <row r="920" spans="1:26" ht="18.75" customHeight="1">
      <c r="A920" s="46"/>
      <c r="B920" s="46"/>
      <c r="C920" s="46"/>
      <c r="D920" s="46"/>
      <c r="E920" s="46"/>
      <c r="F920" s="46"/>
      <c r="G920" s="46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</row>
    <row r="921" spans="1:26" ht="18.75" customHeight="1">
      <c r="A921" s="46"/>
      <c r="B921" s="46"/>
      <c r="C921" s="46"/>
      <c r="D921" s="46"/>
      <c r="E921" s="46"/>
      <c r="F921" s="46"/>
      <c r="G921" s="46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</row>
    <row r="922" spans="1:26" ht="18.75" customHeight="1">
      <c r="A922" s="46"/>
      <c r="B922" s="46"/>
      <c r="C922" s="46"/>
      <c r="D922" s="46"/>
      <c r="E922" s="46"/>
      <c r="F922" s="46"/>
      <c r="G922" s="46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</row>
    <row r="923" spans="1:26" ht="18.75" customHeight="1">
      <c r="A923" s="46"/>
      <c r="B923" s="46"/>
      <c r="C923" s="46"/>
      <c r="D923" s="46"/>
      <c r="E923" s="46"/>
      <c r="F923" s="46"/>
      <c r="G923" s="46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</row>
    <row r="924" spans="1:26" ht="18.75" customHeight="1">
      <c r="A924" s="46"/>
      <c r="B924" s="46"/>
      <c r="C924" s="46"/>
      <c r="D924" s="46"/>
      <c r="E924" s="46"/>
      <c r="F924" s="46"/>
      <c r="G924" s="46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</row>
    <row r="925" spans="1:26" ht="18.75" customHeight="1">
      <c r="A925" s="46"/>
      <c r="B925" s="46"/>
      <c r="C925" s="46"/>
      <c r="D925" s="46"/>
      <c r="E925" s="46"/>
      <c r="F925" s="46"/>
      <c r="G925" s="46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</row>
    <row r="926" spans="1:26" ht="18.75" customHeight="1">
      <c r="A926" s="46"/>
      <c r="B926" s="46"/>
      <c r="C926" s="46"/>
      <c r="D926" s="46"/>
      <c r="E926" s="46"/>
      <c r="F926" s="46"/>
      <c r="G926" s="46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</row>
    <row r="927" spans="1:26" ht="18.75" customHeight="1">
      <c r="A927" s="46"/>
      <c r="B927" s="46"/>
      <c r="C927" s="46"/>
      <c r="D927" s="46"/>
      <c r="E927" s="46"/>
      <c r="F927" s="46"/>
      <c r="G927" s="46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</row>
    <row r="928" spans="1:26" ht="18.75" customHeight="1">
      <c r="A928" s="46"/>
      <c r="B928" s="46"/>
      <c r="C928" s="46"/>
      <c r="D928" s="46"/>
      <c r="E928" s="46"/>
      <c r="F928" s="46"/>
      <c r="G928" s="46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</row>
    <row r="929" spans="1:26" ht="18.75" customHeight="1">
      <c r="A929" s="46"/>
      <c r="B929" s="46"/>
      <c r="C929" s="46"/>
      <c r="D929" s="46"/>
      <c r="E929" s="46"/>
      <c r="F929" s="46"/>
      <c r="G929" s="46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</row>
    <row r="930" spans="1:26" ht="18.75" customHeight="1">
      <c r="A930" s="46"/>
      <c r="B930" s="46"/>
      <c r="C930" s="46"/>
      <c r="D930" s="46"/>
      <c r="E930" s="46"/>
      <c r="F930" s="46"/>
      <c r="G930" s="46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</row>
    <row r="931" spans="1:26" ht="18.75" customHeight="1">
      <c r="A931" s="46"/>
      <c r="B931" s="46"/>
      <c r="C931" s="46"/>
      <c r="D931" s="46"/>
      <c r="E931" s="46"/>
      <c r="F931" s="46"/>
      <c r="G931" s="46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</row>
    <row r="932" spans="1:26" ht="18.75" customHeight="1">
      <c r="A932" s="46"/>
      <c r="B932" s="46"/>
      <c r="C932" s="46"/>
      <c r="D932" s="46"/>
      <c r="E932" s="46"/>
      <c r="F932" s="46"/>
      <c r="G932" s="46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</row>
    <row r="933" spans="1:26" ht="18.75" customHeight="1">
      <c r="A933" s="46"/>
      <c r="B933" s="46"/>
      <c r="C933" s="46"/>
      <c r="D933" s="46"/>
      <c r="E933" s="46"/>
      <c r="F933" s="46"/>
      <c r="G933" s="46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</row>
    <row r="934" spans="1:26" ht="18.75" customHeight="1">
      <c r="A934" s="46"/>
      <c r="B934" s="46"/>
      <c r="C934" s="46"/>
      <c r="D934" s="46"/>
      <c r="E934" s="46"/>
      <c r="F934" s="46"/>
      <c r="G934" s="46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</row>
    <row r="935" spans="1:26" ht="18.75" customHeight="1">
      <c r="A935" s="46"/>
      <c r="B935" s="46"/>
      <c r="C935" s="46"/>
      <c r="D935" s="46"/>
      <c r="E935" s="46"/>
      <c r="F935" s="46"/>
      <c r="G935" s="46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</row>
    <row r="936" spans="1:26" ht="18.75" customHeight="1">
      <c r="A936" s="46"/>
      <c r="B936" s="46"/>
      <c r="C936" s="46"/>
      <c r="D936" s="46"/>
      <c r="E936" s="46"/>
      <c r="F936" s="46"/>
      <c r="G936" s="46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</row>
    <row r="937" spans="1:26" ht="18.75" customHeight="1">
      <c r="A937" s="46"/>
      <c r="B937" s="46"/>
      <c r="C937" s="46"/>
      <c r="D937" s="46"/>
      <c r="E937" s="46"/>
      <c r="F937" s="46"/>
      <c r="G937" s="46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</row>
    <row r="938" spans="1:26" ht="18.75" customHeight="1">
      <c r="A938" s="46"/>
      <c r="B938" s="46"/>
      <c r="C938" s="46"/>
      <c r="D938" s="46"/>
      <c r="E938" s="46"/>
      <c r="F938" s="46"/>
      <c r="G938" s="46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</row>
    <row r="939" spans="1:26" ht="18.75" customHeight="1">
      <c r="A939" s="46"/>
      <c r="B939" s="46"/>
      <c r="C939" s="46"/>
      <c r="D939" s="46"/>
      <c r="E939" s="46"/>
      <c r="F939" s="46"/>
      <c r="G939" s="46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</row>
    <row r="940" spans="1:26" ht="18.75" customHeight="1">
      <c r="A940" s="46"/>
      <c r="B940" s="46"/>
      <c r="C940" s="46"/>
      <c r="D940" s="46"/>
      <c r="E940" s="46"/>
      <c r="F940" s="46"/>
      <c r="G940" s="46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</row>
    <row r="941" spans="1:26" ht="18.75" customHeight="1">
      <c r="A941" s="46"/>
      <c r="B941" s="46"/>
      <c r="C941" s="46"/>
      <c r="D941" s="46"/>
      <c r="E941" s="46"/>
      <c r="F941" s="46"/>
      <c r="G941" s="46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</row>
    <row r="942" spans="1:26" ht="18.75" customHeight="1">
      <c r="A942" s="46"/>
      <c r="B942" s="46"/>
      <c r="C942" s="46"/>
      <c r="D942" s="46"/>
      <c r="E942" s="46"/>
      <c r="F942" s="46"/>
      <c r="G942" s="46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</row>
    <row r="943" spans="1:26" ht="18.75" customHeight="1">
      <c r="A943" s="46"/>
      <c r="B943" s="46"/>
      <c r="C943" s="46"/>
      <c r="D943" s="46"/>
      <c r="E943" s="46"/>
      <c r="F943" s="46"/>
      <c r="G943" s="46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</row>
    <row r="944" spans="1:26" ht="18.75" customHeight="1">
      <c r="A944" s="46"/>
      <c r="B944" s="46"/>
      <c r="C944" s="46"/>
      <c r="D944" s="46"/>
      <c r="E944" s="46"/>
      <c r="F944" s="46"/>
      <c r="G944" s="46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</row>
    <row r="945" spans="1:26" ht="18.75" customHeight="1">
      <c r="A945" s="46"/>
      <c r="B945" s="46"/>
      <c r="C945" s="46"/>
      <c r="D945" s="46"/>
      <c r="E945" s="46"/>
      <c r="F945" s="46"/>
      <c r="G945" s="46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</row>
    <row r="946" spans="1:26" ht="18.75" customHeight="1">
      <c r="A946" s="46"/>
      <c r="B946" s="46"/>
      <c r="C946" s="46"/>
      <c r="D946" s="46"/>
      <c r="E946" s="46"/>
      <c r="F946" s="46"/>
      <c r="G946" s="46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</row>
    <row r="947" spans="1:26" ht="18.75" customHeight="1">
      <c r="A947" s="46"/>
      <c r="B947" s="46"/>
      <c r="C947" s="46"/>
      <c r="D947" s="46"/>
      <c r="E947" s="46"/>
      <c r="F947" s="46"/>
      <c r="G947" s="46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</row>
    <row r="948" spans="1:26" ht="18.75" customHeight="1">
      <c r="A948" s="46"/>
      <c r="B948" s="46"/>
      <c r="C948" s="46"/>
      <c r="D948" s="46"/>
      <c r="E948" s="46"/>
      <c r="F948" s="46"/>
      <c r="G948" s="46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</row>
    <row r="949" spans="1:26" ht="18.75" customHeight="1">
      <c r="A949" s="46"/>
      <c r="B949" s="46"/>
      <c r="C949" s="46"/>
      <c r="D949" s="46"/>
      <c r="E949" s="46"/>
      <c r="F949" s="46"/>
      <c r="G949" s="46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</row>
    <row r="950" spans="1:26" ht="18.75" customHeight="1">
      <c r="A950" s="46"/>
      <c r="B950" s="46"/>
      <c r="C950" s="46"/>
      <c r="D950" s="46"/>
      <c r="E950" s="46"/>
      <c r="F950" s="46"/>
      <c r="G950" s="46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</row>
    <row r="951" spans="1:26" ht="18.75" customHeight="1">
      <c r="A951" s="46"/>
      <c r="B951" s="46"/>
      <c r="C951" s="46"/>
      <c r="D951" s="46"/>
      <c r="E951" s="46"/>
      <c r="F951" s="46"/>
      <c r="G951" s="46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</row>
    <row r="952" spans="1:26" ht="18.75" customHeight="1">
      <c r="A952" s="46"/>
      <c r="B952" s="46"/>
      <c r="C952" s="46"/>
      <c r="D952" s="46"/>
      <c r="E952" s="46"/>
      <c r="F952" s="46"/>
      <c r="G952" s="46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</row>
    <row r="953" spans="1:26" ht="18.75" customHeight="1">
      <c r="A953" s="46"/>
      <c r="B953" s="46"/>
      <c r="C953" s="46"/>
      <c r="D953" s="46"/>
      <c r="E953" s="46"/>
      <c r="F953" s="46"/>
      <c r="G953" s="46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</row>
    <row r="954" spans="1:26" ht="18.75" customHeight="1">
      <c r="A954" s="46"/>
      <c r="B954" s="46"/>
      <c r="C954" s="46"/>
      <c r="D954" s="46"/>
      <c r="E954" s="46"/>
      <c r="F954" s="46"/>
      <c r="G954" s="46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</row>
    <row r="955" spans="1:26" ht="18.75" customHeight="1">
      <c r="A955" s="46"/>
      <c r="B955" s="46"/>
      <c r="C955" s="46"/>
      <c r="D955" s="46"/>
      <c r="E955" s="46"/>
      <c r="F955" s="46"/>
      <c r="G955" s="46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</row>
    <row r="956" spans="1:26" ht="18.75" customHeight="1">
      <c r="A956" s="46"/>
      <c r="B956" s="46"/>
      <c r="C956" s="46"/>
      <c r="D956" s="46"/>
      <c r="E956" s="46"/>
      <c r="F956" s="46"/>
      <c r="G956" s="46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</row>
    <row r="957" spans="1:26" ht="18.75" customHeight="1">
      <c r="A957" s="46"/>
      <c r="B957" s="46"/>
      <c r="C957" s="46"/>
      <c r="D957" s="46"/>
      <c r="E957" s="46"/>
      <c r="F957" s="46"/>
      <c r="G957" s="46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</row>
    <row r="958" spans="1:26" ht="18.75" customHeight="1">
      <c r="A958" s="46"/>
      <c r="B958" s="46"/>
      <c r="C958" s="46"/>
      <c r="D958" s="46"/>
      <c r="E958" s="46"/>
      <c r="F958" s="46"/>
      <c r="G958" s="46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</row>
    <row r="959" spans="1:26" ht="18.75" customHeight="1">
      <c r="A959" s="46"/>
      <c r="B959" s="46"/>
      <c r="C959" s="46"/>
      <c r="D959" s="46"/>
      <c r="E959" s="46"/>
      <c r="F959" s="46"/>
      <c r="G959" s="46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</row>
    <row r="960" spans="1:26" ht="18.75" customHeight="1">
      <c r="A960" s="46"/>
      <c r="B960" s="46"/>
      <c r="C960" s="46"/>
      <c r="D960" s="46"/>
      <c r="E960" s="46"/>
      <c r="F960" s="46"/>
      <c r="G960" s="46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</row>
    <row r="961" spans="1:26" ht="18.75" customHeight="1">
      <c r="A961" s="46"/>
      <c r="B961" s="46"/>
      <c r="C961" s="46"/>
      <c r="D961" s="46"/>
      <c r="E961" s="46"/>
      <c r="F961" s="46"/>
      <c r="G961" s="46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</row>
    <row r="962" spans="1:26" ht="18.75" customHeight="1">
      <c r="A962" s="46"/>
      <c r="B962" s="46"/>
      <c r="C962" s="46"/>
      <c r="D962" s="46"/>
      <c r="E962" s="46"/>
      <c r="F962" s="46"/>
      <c r="G962" s="46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</row>
    <row r="963" spans="1:26" ht="18.75" customHeight="1">
      <c r="A963" s="46"/>
      <c r="B963" s="46"/>
      <c r="C963" s="46"/>
      <c r="D963" s="46"/>
      <c r="E963" s="46"/>
      <c r="F963" s="46"/>
      <c r="G963" s="46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</row>
    <row r="964" spans="1:26" ht="18.75" customHeight="1">
      <c r="A964" s="46"/>
      <c r="B964" s="46"/>
      <c r="C964" s="46"/>
      <c r="D964" s="46"/>
      <c r="E964" s="46"/>
      <c r="F964" s="46"/>
      <c r="G964" s="46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</row>
    <row r="965" spans="1:26" ht="18.75" customHeight="1">
      <c r="A965" s="46"/>
      <c r="B965" s="46"/>
      <c r="C965" s="46"/>
      <c r="D965" s="46"/>
      <c r="E965" s="46"/>
      <c r="F965" s="46"/>
      <c r="G965" s="46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</row>
    <row r="966" spans="1:26" ht="18.75" customHeight="1">
      <c r="A966" s="46"/>
      <c r="B966" s="46"/>
      <c r="C966" s="46"/>
      <c r="D966" s="46"/>
      <c r="E966" s="46"/>
      <c r="F966" s="46"/>
      <c r="G966" s="46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</row>
    <row r="967" spans="1:26" ht="18.75" customHeight="1">
      <c r="A967" s="46"/>
      <c r="B967" s="46"/>
      <c r="C967" s="46"/>
      <c r="D967" s="46"/>
      <c r="E967" s="46"/>
      <c r="F967" s="46"/>
      <c r="G967" s="46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</row>
    <row r="968" spans="1:26" ht="18.75" customHeight="1">
      <c r="A968" s="46"/>
      <c r="B968" s="46"/>
      <c r="C968" s="46"/>
      <c r="D968" s="46"/>
      <c r="E968" s="46"/>
      <c r="F968" s="46"/>
      <c r="G968" s="46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</row>
    <row r="969" spans="1:26" ht="18.75" customHeight="1">
      <c r="A969" s="46"/>
      <c r="B969" s="46"/>
      <c r="C969" s="46"/>
      <c r="D969" s="46"/>
      <c r="E969" s="46"/>
      <c r="F969" s="46"/>
      <c r="G969" s="46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</row>
    <row r="970" spans="1:26" ht="18.75" customHeight="1">
      <c r="A970" s="46"/>
      <c r="B970" s="46"/>
      <c r="C970" s="46"/>
      <c r="D970" s="46"/>
      <c r="E970" s="46"/>
      <c r="F970" s="46"/>
      <c r="G970" s="46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</row>
    <row r="971" spans="1:26" ht="18.75" customHeight="1">
      <c r="A971" s="46"/>
      <c r="B971" s="46"/>
      <c r="C971" s="46"/>
      <c r="D971" s="46"/>
      <c r="E971" s="46"/>
      <c r="F971" s="46"/>
      <c r="G971" s="46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</row>
    <row r="972" spans="1:26" ht="18.75" customHeight="1">
      <c r="A972" s="46"/>
      <c r="B972" s="46"/>
      <c r="C972" s="46"/>
      <c r="D972" s="46"/>
      <c r="E972" s="46"/>
      <c r="F972" s="46"/>
      <c r="G972" s="46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</row>
    <row r="973" spans="1:26" ht="18.75" customHeight="1">
      <c r="A973" s="46"/>
      <c r="B973" s="46"/>
      <c r="C973" s="46"/>
      <c r="D973" s="46"/>
      <c r="E973" s="46"/>
      <c r="F973" s="46"/>
      <c r="G973" s="46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</row>
    <row r="974" spans="1:26" ht="18.75" customHeight="1">
      <c r="A974" s="46"/>
      <c r="B974" s="46"/>
      <c r="C974" s="46"/>
      <c r="D974" s="46"/>
      <c r="E974" s="46"/>
      <c r="F974" s="46"/>
      <c r="G974" s="46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</row>
    <row r="975" spans="1:26" ht="18.75" customHeight="1">
      <c r="A975" s="46"/>
      <c r="B975" s="46"/>
      <c r="C975" s="46"/>
      <c r="D975" s="46"/>
      <c r="E975" s="46"/>
      <c r="F975" s="46"/>
      <c r="G975" s="46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</row>
    <row r="976" spans="1:26" ht="18.75" customHeight="1">
      <c r="A976" s="46"/>
      <c r="B976" s="46"/>
      <c r="C976" s="46"/>
      <c r="D976" s="46"/>
      <c r="E976" s="46"/>
      <c r="F976" s="46"/>
      <c r="G976" s="46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</row>
    <row r="977" spans="1:26" ht="18.75" customHeight="1">
      <c r="A977" s="46"/>
      <c r="B977" s="46"/>
      <c r="C977" s="46"/>
      <c r="D977" s="46"/>
      <c r="E977" s="46"/>
      <c r="F977" s="46"/>
      <c r="G977" s="46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</row>
    <row r="978" spans="1:26" ht="18.75" customHeight="1">
      <c r="A978" s="46"/>
      <c r="B978" s="46"/>
      <c r="C978" s="46"/>
      <c r="D978" s="46"/>
      <c r="E978" s="46"/>
      <c r="F978" s="46"/>
      <c r="G978" s="46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</row>
    <row r="979" spans="1:26" ht="18.75" customHeight="1">
      <c r="A979" s="46"/>
      <c r="B979" s="46"/>
      <c r="C979" s="46"/>
      <c r="D979" s="46"/>
      <c r="E979" s="46"/>
      <c r="F979" s="46"/>
      <c r="G979" s="46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</row>
    <row r="980" spans="1:26" ht="18.75" customHeight="1">
      <c r="A980" s="46"/>
      <c r="B980" s="46"/>
      <c r="C980" s="46"/>
      <c r="D980" s="46"/>
      <c r="E980" s="46"/>
      <c r="F980" s="46"/>
      <c r="G980" s="46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</row>
    <row r="981" spans="1:26" ht="18.75" customHeight="1">
      <c r="A981" s="46"/>
      <c r="B981" s="46"/>
      <c r="C981" s="46"/>
      <c r="D981" s="46"/>
      <c r="E981" s="46"/>
      <c r="F981" s="46"/>
      <c r="G981" s="46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</row>
    <row r="982" spans="1:26" ht="18.75" customHeight="1">
      <c r="A982" s="46"/>
      <c r="B982" s="46"/>
      <c r="C982" s="46"/>
      <c r="D982" s="46"/>
      <c r="E982" s="46"/>
      <c r="F982" s="46"/>
      <c r="G982" s="46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</row>
    <row r="983" spans="1:26" ht="18.75" customHeight="1">
      <c r="A983" s="46"/>
      <c r="B983" s="46"/>
      <c r="C983" s="46"/>
      <c r="D983" s="46"/>
      <c r="E983" s="46"/>
      <c r="F983" s="46"/>
      <c r="G983" s="46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</row>
    <row r="984" spans="1:26" ht="18.75" customHeight="1">
      <c r="A984" s="46"/>
      <c r="B984" s="46"/>
      <c r="C984" s="46"/>
      <c r="D984" s="46"/>
      <c r="E984" s="46"/>
      <c r="F984" s="46"/>
      <c r="G984" s="46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</row>
    <row r="985" spans="1:26" ht="18.75" customHeight="1">
      <c r="A985" s="46"/>
      <c r="B985" s="46"/>
      <c r="C985" s="46"/>
      <c r="D985" s="46"/>
      <c r="E985" s="46"/>
      <c r="F985" s="46"/>
      <c r="G985" s="46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</row>
    <row r="986" spans="1:26" ht="18.75" customHeight="1">
      <c r="A986" s="46"/>
      <c r="B986" s="46"/>
      <c r="C986" s="46"/>
      <c r="D986" s="46"/>
      <c r="E986" s="46"/>
      <c r="F986" s="46"/>
      <c r="G986" s="46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</row>
    <row r="987" spans="1:26" ht="18.75" customHeight="1">
      <c r="A987" s="46"/>
      <c r="B987" s="46"/>
      <c r="C987" s="46"/>
      <c r="D987" s="46"/>
      <c r="E987" s="46"/>
      <c r="F987" s="46"/>
      <c r="G987" s="46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</row>
    <row r="988" spans="1:26" ht="18.75" customHeight="1">
      <c r="A988" s="46"/>
      <c r="B988" s="46"/>
      <c r="C988" s="46"/>
      <c r="D988" s="46"/>
      <c r="E988" s="46"/>
      <c r="F988" s="46"/>
      <c r="G988" s="46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</row>
    <row r="989" spans="1:26" ht="18.75" customHeight="1">
      <c r="A989" s="46"/>
      <c r="B989" s="46"/>
      <c r="C989" s="46"/>
      <c r="D989" s="46"/>
      <c r="E989" s="46"/>
      <c r="F989" s="46"/>
      <c r="G989" s="46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</row>
    <row r="990" spans="1:26" ht="18.75" customHeight="1">
      <c r="A990" s="46"/>
      <c r="B990" s="46"/>
      <c r="C990" s="46"/>
      <c r="D990" s="46"/>
      <c r="E990" s="46"/>
      <c r="F990" s="46"/>
      <c r="G990" s="46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</row>
    <row r="991" spans="1:26" ht="18.75" customHeight="1">
      <c r="A991" s="46"/>
      <c r="B991" s="46"/>
      <c r="C991" s="46"/>
      <c r="D991" s="46"/>
      <c r="E991" s="46"/>
      <c r="F991" s="46"/>
      <c r="G991" s="46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</row>
    <row r="992" spans="1:26" ht="18.75" customHeight="1">
      <c r="A992" s="46"/>
      <c r="B992" s="46"/>
      <c r="C992" s="46"/>
      <c r="D992" s="46"/>
      <c r="E992" s="46"/>
      <c r="F992" s="46"/>
      <c r="G992" s="46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</row>
    <row r="993" spans="1:26" ht="18.75" customHeight="1">
      <c r="A993" s="46"/>
      <c r="B993" s="46"/>
      <c r="C993" s="46"/>
      <c r="D993" s="46"/>
      <c r="E993" s="46"/>
      <c r="F993" s="46"/>
      <c r="G993" s="46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</row>
    <row r="994" spans="1:26" ht="18.75" customHeight="1">
      <c r="A994" s="46"/>
      <c r="B994" s="46"/>
      <c r="C994" s="46"/>
      <c r="D994" s="46"/>
      <c r="E994" s="46"/>
      <c r="F994" s="46"/>
      <c r="G994" s="46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</row>
    <row r="995" spans="1:26" ht="18.75" customHeight="1">
      <c r="A995" s="46"/>
      <c r="B995" s="46"/>
      <c r="C995" s="46"/>
      <c r="D995" s="46"/>
      <c r="E995" s="46"/>
      <c r="F995" s="46"/>
      <c r="G995" s="46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</row>
    <row r="996" spans="1:26" ht="18.75" customHeight="1">
      <c r="A996" s="46"/>
      <c r="B996" s="46"/>
      <c r="C996" s="46"/>
      <c r="D996" s="46"/>
      <c r="E996" s="46"/>
      <c r="F996" s="46"/>
      <c r="G996" s="46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</row>
    <row r="997" spans="1:26" ht="18.75" customHeight="1">
      <c r="A997" s="46"/>
      <c r="B997" s="46"/>
      <c r="C997" s="46"/>
      <c r="D997" s="46"/>
      <c r="E997" s="46"/>
      <c r="F997" s="46"/>
      <c r="G997" s="46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</row>
    <row r="998" spans="1:26" ht="18.75" customHeight="1">
      <c r="A998" s="46"/>
      <c r="B998" s="46"/>
      <c r="C998" s="46"/>
      <c r="D998" s="46"/>
      <c r="E998" s="46"/>
      <c r="F998" s="46"/>
      <c r="G998" s="46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</row>
    <row r="999" spans="1:26" ht="18.75" customHeight="1">
      <c r="A999" s="46"/>
      <c r="B999" s="46"/>
      <c r="C999" s="46"/>
      <c r="D999" s="46"/>
      <c r="E999" s="46"/>
      <c r="F999" s="46"/>
      <c r="G999" s="46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</row>
    <row r="1000" spans="1:26" ht="18.75" customHeight="1">
      <c r="A1000" s="46"/>
      <c r="B1000" s="46"/>
      <c r="C1000" s="46"/>
      <c r="D1000" s="46"/>
      <c r="E1000" s="46"/>
      <c r="F1000" s="46"/>
      <c r="G1000" s="46"/>
      <c r="H1000" s="33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</row>
  </sheetData>
  <mergeCells count="73">
    <mergeCell ref="C154:F154"/>
    <mergeCell ref="C155:F155"/>
    <mergeCell ref="C156:F156"/>
    <mergeCell ref="C157:F157"/>
    <mergeCell ref="A126:F126"/>
    <mergeCell ref="A127:G129"/>
    <mergeCell ref="A130:A131"/>
    <mergeCell ref="B130:B131"/>
    <mergeCell ref="C130:E130"/>
    <mergeCell ref="F130:F131"/>
    <mergeCell ref="G130:G131"/>
    <mergeCell ref="C165:F165"/>
    <mergeCell ref="C166:F166"/>
    <mergeCell ref="A167:F167"/>
    <mergeCell ref="C158:F158"/>
    <mergeCell ref="C159:F159"/>
    <mergeCell ref="C160:F160"/>
    <mergeCell ref="C161:F161"/>
    <mergeCell ref="C162:F162"/>
    <mergeCell ref="C163:F163"/>
    <mergeCell ref="C164:F164"/>
    <mergeCell ref="A1:G3"/>
    <mergeCell ref="A4:A5"/>
    <mergeCell ref="B4:B5"/>
    <mergeCell ref="C4:E4"/>
    <mergeCell ref="F4:F5"/>
    <mergeCell ref="G4:G5"/>
    <mergeCell ref="A20:F20"/>
    <mergeCell ref="A21:G23"/>
    <mergeCell ref="A24:A25"/>
    <mergeCell ref="B24:B25"/>
    <mergeCell ref="C24:E24"/>
    <mergeCell ref="F24:F25"/>
    <mergeCell ref="G24:G25"/>
    <mergeCell ref="A38:F38"/>
    <mergeCell ref="A39:G41"/>
    <mergeCell ref="A42:A43"/>
    <mergeCell ref="B42:B43"/>
    <mergeCell ref="C42:E42"/>
    <mergeCell ref="F42:F43"/>
    <mergeCell ref="G42:G43"/>
    <mergeCell ref="A61:F61"/>
    <mergeCell ref="A65:A66"/>
    <mergeCell ref="B65:B66"/>
    <mergeCell ref="C65:E65"/>
    <mergeCell ref="F65:F66"/>
    <mergeCell ref="G65:G66"/>
    <mergeCell ref="A76:F76"/>
    <mergeCell ref="A77:G79"/>
    <mergeCell ref="A80:A81"/>
    <mergeCell ref="B80:B81"/>
    <mergeCell ref="C80:E80"/>
    <mergeCell ref="F80:F81"/>
    <mergeCell ref="G80:G81"/>
    <mergeCell ref="A96:F96"/>
    <mergeCell ref="A97:G99"/>
    <mergeCell ref="A100:A101"/>
    <mergeCell ref="B100:B101"/>
    <mergeCell ref="C100:E100"/>
    <mergeCell ref="F100:F101"/>
    <mergeCell ref="G100:G101"/>
    <mergeCell ref="A112:F112"/>
    <mergeCell ref="A113:G115"/>
    <mergeCell ref="C151:F151"/>
    <mergeCell ref="C152:F152"/>
    <mergeCell ref="C153:F153"/>
    <mergeCell ref="A146:F146"/>
    <mergeCell ref="A148:G150"/>
    <mergeCell ref="A116:A117"/>
    <mergeCell ref="B116:B117"/>
    <mergeCell ref="C116:E116"/>
    <mergeCell ref="F116:F117"/>
    <mergeCell ref="G116:G117"/>
  </mergeCells>
  <conditionalFormatting sqref="G6:G19">
    <cfRule type="containsBlanks" dxfId="33" priority="1">
      <formula>LEN(TRIM(G6))=0</formula>
    </cfRule>
    <cfRule type="cellIs" dxfId="32" priority="2" operator="equal">
      <formula>"N/A"</formula>
    </cfRule>
    <cfRule type="cellIs" dxfId="31" priority="3" operator="equal">
      <formula>2</formula>
    </cfRule>
    <cfRule type="cellIs" dxfId="30" priority="4" operator="equal">
      <formula>1</formula>
    </cfRule>
  </conditionalFormatting>
  <conditionalFormatting sqref="G26:G37">
    <cfRule type="containsBlanks" dxfId="29" priority="5">
      <formula>LEN(TRIM(G26))=0</formula>
    </cfRule>
    <cfRule type="cellIs" dxfId="28" priority="6" operator="equal">
      <formula>"N/A"</formula>
    </cfRule>
    <cfRule type="cellIs" dxfId="27" priority="7" operator="equal">
      <formula>2</formula>
    </cfRule>
    <cfRule type="cellIs" dxfId="26" priority="8" operator="equal">
      <formula>1</formula>
    </cfRule>
  </conditionalFormatting>
  <conditionalFormatting sqref="G44:G60">
    <cfRule type="containsBlanks" dxfId="25" priority="9">
      <formula>LEN(TRIM(G44))=0</formula>
    </cfRule>
    <cfRule type="cellIs" dxfId="24" priority="10" operator="equal">
      <formula>"N/A"</formula>
    </cfRule>
    <cfRule type="cellIs" dxfId="23" priority="11" operator="equal">
      <formula>2</formula>
    </cfRule>
    <cfRule type="cellIs" dxfId="22" priority="12" operator="equal">
      <formula>1</formula>
    </cfRule>
  </conditionalFormatting>
  <conditionalFormatting sqref="G67:G75">
    <cfRule type="containsBlanks" dxfId="21" priority="13">
      <formula>LEN(TRIM(G67))=0</formula>
    </cfRule>
    <cfRule type="cellIs" dxfId="20" priority="14" operator="equal">
      <formula>"N/A"</formula>
    </cfRule>
    <cfRule type="cellIs" dxfId="19" priority="15" operator="equal">
      <formula>2</formula>
    </cfRule>
    <cfRule type="cellIs" dxfId="18" priority="16" operator="equal">
      <formula>1</formula>
    </cfRule>
  </conditionalFormatting>
  <conditionalFormatting sqref="G82:G95">
    <cfRule type="cellIs" dxfId="17" priority="17" operator="equal">
      <formula>"N/A"</formula>
    </cfRule>
    <cfRule type="containsBlanks" dxfId="16" priority="18">
      <formula>LEN(TRIM(G82))=0</formula>
    </cfRule>
    <cfRule type="cellIs" dxfId="15" priority="19" operator="equal">
      <formula>2</formula>
    </cfRule>
    <cfRule type="cellIs" dxfId="14" priority="20" operator="equal">
      <formula>1</formula>
    </cfRule>
  </conditionalFormatting>
  <conditionalFormatting sqref="G102:G111">
    <cfRule type="containsBlanks" dxfId="13" priority="21">
      <formula>LEN(TRIM(G102))=0</formula>
    </cfRule>
    <cfRule type="cellIs" dxfId="12" priority="22" operator="equal">
      <formula>2</formula>
    </cfRule>
    <cfRule type="cellIs" dxfId="11" priority="23" operator="equal">
      <formula>1</formula>
    </cfRule>
  </conditionalFormatting>
  <conditionalFormatting sqref="G118:G125">
    <cfRule type="containsBlanks" dxfId="10" priority="24">
      <formula>LEN(TRIM(G118))=0</formula>
    </cfRule>
    <cfRule type="cellIs" dxfId="9" priority="25" operator="equal">
      <formula>2</formula>
    </cfRule>
    <cfRule type="cellIs" dxfId="8" priority="26" operator="equal">
      <formula>"N/A"</formula>
    </cfRule>
    <cfRule type="cellIs" dxfId="7" priority="27" operator="equal">
      <formula>1</formula>
    </cfRule>
  </conditionalFormatting>
  <conditionalFormatting sqref="G132:G145">
    <cfRule type="containsBlanks" dxfId="6" priority="28">
      <formula>LEN(TRIM(G132))=0</formula>
    </cfRule>
    <cfRule type="cellIs" dxfId="5" priority="29" operator="equal">
      <formula>"N/A"</formula>
    </cfRule>
    <cfRule type="cellIs" dxfId="4" priority="30" operator="equal">
      <formula>1</formula>
    </cfRule>
  </conditionalFormatting>
  <conditionalFormatting sqref="G152:G166">
    <cfRule type="containsBlanks" dxfId="3" priority="31">
      <formula>LEN(TRIM(G152))=0</formula>
    </cfRule>
    <cfRule type="cellIs" dxfId="2" priority="32" operator="equal">
      <formula>2</formula>
    </cfRule>
    <cfRule type="cellIs" dxfId="1" priority="33" operator="equal">
      <formula>"N/A"</formula>
    </cfRule>
    <cfRule type="cellIs" dxfId="0" priority="34" operator="equal">
      <formula>1</formula>
    </cfRule>
  </conditionalFormatting>
  <pageMargins left="1" right="0.79" top="0.59" bottom="0.42" header="0" footer="0"/>
  <pageSetup paperSize="9" scale="15"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'dont delete or edit'!$A$1:$A$4</xm:f>
          </x14:formula1>
          <xm:sqref>G6:G19 G26:G37 G44:G60 G67:G75 G82:G95 G102:G111 G118:G125 G132:G145 G152:G166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Z1000"/>
  <sheetViews>
    <sheetView showGridLines="0" rightToLeft="1" workbookViewId="0">
      <selection activeCell="A8" sqref="A8"/>
    </sheetView>
  </sheetViews>
  <sheetFormatPr defaultColWidth="14.42578125" defaultRowHeight="15" customHeight="1"/>
  <cols>
    <col min="1" max="1" width="24.140625" customWidth="1"/>
    <col min="2" max="3" width="9.140625" customWidth="1"/>
    <col min="4" max="4" width="57" customWidth="1"/>
    <col min="5" max="5" width="20.5703125" customWidth="1"/>
    <col min="6" max="26" width="9.140625" customWidth="1"/>
  </cols>
  <sheetData>
    <row r="1" spans="1:26">
      <c r="A1" s="47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</row>
    <row r="2" spans="1:26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</row>
    <row r="3" spans="1:26" ht="20.25" customHeight="1">
      <c r="A3" s="175" t="s">
        <v>849</v>
      </c>
      <c r="B3" s="61"/>
      <c r="C3" s="61"/>
      <c r="D3" s="61"/>
      <c r="E3" s="177" t="s">
        <v>850</v>
      </c>
      <c r="F3" s="61"/>
      <c r="G3" s="62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</row>
    <row r="4" spans="1:26" ht="20.25" customHeight="1">
      <c r="A4" s="178" t="s">
        <v>852</v>
      </c>
      <c r="B4" s="61"/>
      <c r="C4" s="61"/>
      <c r="D4" s="61"/>
      <c r="E4" s="176" t="s">
        <v>851</v>
      </c>
      <c r="F4" s="61"/>
      <c r="G4" s="62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</row>
    <row r="5" spans="1:26" ht="20.25" customHeight="1">
      <c r="A5" s="74" t="s">
        <v>798</v>
      </c>
      <c r="B5" s="72"/>
      <c r="C5" s="72"/>
      <c r="D5" s="72"/>
      <c r="E5" s="72"/>
      <c r="F5" s="73"/>
      <c r="G5" s="48" t="str">
        <f>E54</f>
        <v>N/A</v>
      </c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</row>
    <row r="6" spans="1:26">
      <c r="A6" s="47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</row>
    <row r="7" spans="1:26">
      <c r="A7" s="47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</row>
    <row r="8" spans="1:26" ht="18.75">
      <c r="A8" s="47"/>
      <c r="B8" s="47"/>
      <c r="C8" s="49" t="s">
        <v>799</v>
      </c>
      <c r="D8" s="50" t="s">
        <v>800</v>
      </c>
      <c r="E8" s="51" t="s">
        <v>801</v>
      </c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</row>
    <row r="9" spans="1:26" ht="18.75">
      <c r="A9" s="47"/>
      <c r="B9" s="47"/>
      <c r="C9" s="52">
        <v>1</v>
      </c>
      <c r="D9" s="53" t="s">
        <v>802</v>
      </c>
      <c r="E9" s="54" t="str">
        <f>العيادات!F50</f>
        <v>N/A</v>
      </c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</row>
    <row r="10" spans="1:26" ht="18.75">
      <c r="A10" s="47"/>
      <c r="B10" s="47"/>
      <c r="C10" s="52">
        <v>2</v>
      </c>
      <c r="D10" s="55" t="s">
        <v>803</v>
      </c>
      <c r="E10" s="54" t="str">
        <f>العيادات!F67</f>
        <v>N/A</v>
      </c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</row>
    <row r="11" spans="1:26" ht="18.75">
      <c r="A11" s="47"/>
      <c r="B11" s="47"/>
      <c r="C11" s="52">
        <v>3</v>
      </c>
      <c r="D11" s="55" t="s">
        <v>804</v>
      </c>
      <c r="E11" s="54" t="str">
        <f>العيادات!F90</f>
        <v>N/A</v>
      </c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</row>
    <row r="12" spans="1:26" ht="18.75">
      <c r="A12" s="47"/>
      <c r="B12" s="47"/>
      <c r="C12" s="52">
        <v>4</v>
      </c>
      <c r="D12" s="55" t="s">
        <v>805</v>
      </c>
      <c r="E12" s="54" t="str">
        <f>العيادات!F95</f>
        <v>N/A</v>
      </c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</row>
    <row r="13" spans="1:26" ht="18.75">
      <c r="A13" s="47"/>
      <c r="B13" s="47"/>
      <c r="C13" s="56">
        <v>5</v>
      </c>
      <c r="D13" s="55" t="s">
        <v>806</v>
      </c>
      <c r="E13" s="54" t="str">
        <f>العيادات!F103</f>
        <v>N/A</v>
      </c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</row>
    <row r="14" spans="1:26" ht="18.75">
      <c r="A14" s="47"/>
      <c r="B14" s="47"/>
      <c r="C14" s="52">
        <v>6</v>
      </c>
      <c r="D14" s="55" t="s">
        <v>807</v>
      </c>
      <c r="E14" s="54" t="str">
        <f>العيادات!F109</f>
        <v>N/A</v>
      </c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</row>
    <row r="15" spans="1:26" ht="18.75">
      <c r="A15" s="47"/>
      <c r="B15" s="47"/>
      <c r="C15" s="56">
        <v>7</v>
      </c>
      <c r="D15" s="55" t="s">
        <v>808</v>
      </c>
      <c r="E15" s="54" t="str">
        <f>العيادات!F120</f>
        <v>N/A</v>
      </c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</row>
    <row r="16" spans="1:26" ht="18.75">
      <c r="A16" s="47"/>
      <c r="B16" s="47"/>
      <c r="C16" s="56">
        <v>8</v>
      </c>
      <c r="D16" s="55" t="s">
        <v>809</v>
      </c>
      <c r="E16" s="54" t="str">
        <f>العيادات!F140</f>
        <v>N/A</v>
      </c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</row>
    <row r="17" spans="1:26" ht="18.75">
      <c r="A17" s="47"/>
      <c r="B17" s="47"/>
      <c r="C17" s="52">
        <v>9</v>
      </c>
      <c r="D17" s="55" t="s">
        <v>810</v>
      </c>
      <c r="E17" s="54" t="str">
        <f>العيادات!F174</f>
        <v>N/A</v>
      </c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</row>
    <row r="18" spans="1:26" ht="18.75">
      <c r="A18" s="47"/>
      <c r="B18" s="47"/>
      <c r="C18" s="56">
        <v>10</v>
      </c>
      <c r="D18" s="55" t="s">
        <v>811</v>
      </c>
      <c r="E18" s="54" t="str">
        <f>العيادات!F193</f>
        <v>N/A</v>
      </c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</row>
    <row r="19" spans="1:26" ht="18.75">
      <c r="A19" s="47"/>
      <c r="B19" s="47"/>
      <c r="C19" s="52">
        <v>11</v>
      </c>
      <c r="D19" s="55" t="s">
        <v>812</v>
      </c>
      <c r="E19" s="54" t="str">
        <f>العيادات!F206</f>
        <v>N/A</v>
      </c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</row>
    <row r="20" spans="1:26" ht="18.75">
      <c r="A20" s="47"/>
      <c r="B20" s="47"/>
      <c r="C20" s="56">
        <v>12</v>
      </c>
      <c r="D20" s="55" t="s">
        <v>813</v>
      </c>
      <c r="E20" s="54" t="str">
        <f>العيادات!F213</f>
        <v>N/A</v>
      </c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</row>
    <row r="21" spans="1:26" ht="15.75" customHeight="1">
      <c r="A21" s="47"/>
      <c r="B21" s="47"/>
      <c r="C21" s="52">
        <v>13</v>
      </c>
      <c r="D21" s="55" t="s">
        <v>814</v>
      </c>
      <c r="E21" s="54" t="str">
        <f>العيادات!F224</f>
        <v>N/A</v>
      </c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</row>
    <row r="22" spans="1:26" ht="15.75" customHeight="1">
      <c r="A22" s="47"/>
      <c r="B22" s="47"/>
      <c r="C22" s="52">
        <v>14</v>
      </c>
      <c r="D22" s="55" t="s">
        <v>815</v>
      </c>
      <c r="E22" s="54" t="str">
        <f>العيادات!F234</f>
        <v>N/A</v>
      </c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</row>
    <row r="23" spans="1:26" ht="15.75" customHeight="1">
      <c r="A23" s="47"/>
      <c r="B23" s="47"/>
      <c r="C23" s="56">
        <v>15</v>
      </c>
      <c r="D23" s="55" t="s">
        <v>816</v>
      </c>
      <c r="E23" s="54" t="str">
        <f>العيادات!F250</f>
        <v>N/A</v>
      </c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</row>
    <row r="24" spans="1:26" ht="15.75" customHeight="1">
      <c r="A24" s="47"/>
      <c r="B24" s="47"/>
      <c r="C24" s="52">
        <v>16</v>
      </c>
      <c r="D24" s="55" t="s">
        <v>817</v>
      </c>
      <c r="E24" s="54" t="str">
        <f>العيادات!F262</f>
        <v>N/A</v>
      </c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</row>
    <row r="25" spans="1:26" ht="15.75" customHeight="1">
      <c r="A25" s="47"/>
      <c r="B25" s="47"/>
      <c r="C25" s="56">
        <v>17</v>
      </c>
      <c r="D25" s="55" t="s">
        <v>818</v>
      </c>
      <c r="E25" s="54" t="str">
        <f>العيادات!F268</f>
        <v>N/A</v>
      </c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</row>
    <row r="26" spans="1:26" ht="15.75" customHeight="1">
      <c r="A26" s="47"/>
      <c r="B26" s="47"/>
      <c r="C26" s="52">
        <v>18</v>
      </c>
      <c r="D26" s="55" t="s">
        <v>819</v>
      </c>
      <c r="E26" s="54" t="str">
        <f>العيادات!F291</f>
        <v>N/A</v>
      </c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</row>
    <row r="27" spans="1:26" ht="15.75" customHeight="1">
      <c r="A27" s="47"/>
      <c r="B27" s="47"/>
      <c r="C27" s="56">
        <v>19</v>
      </c>
      <c r="D27" s="55" t="s">
        <v>820</v>
      </c>
      <c r="E27" s="54" t="str">
        <f>العيادات!F320</f>
        <v>N/A</v>
      </c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</row>
    <row r="28" spans="1:26" ht="15.75" customHeight="1">
      <c r="A28" s="47"/>
      <c r="B28" s="47"/>
      <c r="C28" s="56">
        <v>20</v>
      </c>
      <c r="D28" s="55" t="s">
        <v>821</v>
      </c>
      <c r="E28" s="54" t="str">
        <f>العيادات!F345</f>
        <v>N/A</v>
      </c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</row>
    <row r="29" spans="1:26" ht="15.75" customHeight="1">
      <c r="A29" s="47"/>
      <c r="B29" s="47"/>
      <c r="C29" s="56">
        <v>21</v>
      </c>
      <c r="D29" s="55" t="s">
        <v>822</v>
      </c>
      <c r="E29" s="54" t="str">
        <f>العيادات!F352</f>
        <v>N/A</v>
      </c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</row>
    <row r="30" spans="1:26" ht="15.75" customHeight="1">
      <c r="A30" s="47"/>
      <c r="B30" s="47"/>
      <c r="C30" s="56">
        <v>22</v>
      </c>
      <c r="D30" s="55" t="s">
        <v>823</v>
      </c>
      <c r="E30" s="54" t="str">
        <f>العيادات!F367</f>
        <v>N/A</v>
      </c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</row>
    <row r="31" spans="1:26" ht="15.75" customHeight="1">
      <c r="A31" s="47"/>
      <c r="B31" s="47"/>
      <c r="C31" s="56">
        <v>23</v>
      </c>
      <c r="D31" s="55" t="s">
        <v>824</v>
      </c>
      <c r="E31" s="54" t="str">
        <f>العيادات!F377</f>
        <v>N/A</v>
      </c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</row>
    <row r="32" spans="1:26" ht="15.75" customHeight="1">
      <c r="A32" s="47"/>
      <c r="B32" s="47"/>
      <c r="C32" s="52">
        <v>24</v>
      </c>
      <c r="D32" s="55" t="s">
        <v>825</v>
      </c>
      <c r="E32" s="54" t="str">
        <f>العيادات!F381</f>
        <v>N/A</v>
      </c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</row>
    <row r="33" spans="1:26" ht="15.75" customHeight="1">
      <c r="A33" s="47"/>
      <c r="B33" s="47"/>
      <c r="C33" s="56">
        <v>25</v>
      </c>
      <c r="D33" s="55" t="s">
        <v>826</v>
      </c>
      <c r="E33" s="54" t="str">
        <f>العيادات!F386</f>
        <v>N/A</v>
      </c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</row>
    <row r="34" spans="1:26" ht="15.75" customHeight="1">
      <c r="A34" s="47"/>
      <c r="B34" s="47"/>
      <c r="C34" s="52">
        <v>26</v>
      </c>
      <c r="D34" s="55" t="s">
        <v>827</v>
      </c>
      <c r="E34" s="54" t="str">
        <f>العيادات!F392</f>
        <v>N/A</v>
      </c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</row>
    <row r="35" spans="1:26" ht="15.75" customHeight="1">
      <c r="A35" s="47"/>
      <c r="B35" s="47"/>
      <c r="C35" s="52">
        <v>27</v>
      </c>
      <c r="D35" s="55" t="s">
        <v>828</v>
      </c>
      <c r="E35" s="54" t="str">
        <f>العيادات!F406</f>
        <v>N/A</v>
      </c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</row>
    <row r="36" spans="1:26" ht="15.75" customHeight="1">
      <c r="A36" s="47"/>
      <c r="B36" s="47"/>
      <c r="C36" s="56">
        <v>28</v>
      </c>
      <c r="D36" s="55" t="s">
        <v>829</v>
      </c>
      <c r="E36" s="54" t="str">
        <f>العيادات!F423</f>
        <v>N/A</v>
      </c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</row>
    <row r="37" spans="1:26" ht="15.75" customHeight="1">
      <c r="A37" s="47"/>
      <c r="B37" s="47"/>
      <c r="C37" s="52">
        <v>29</v>
      </c>
      <c r="D37" s="55" t="s">
        <v>830</v>
      </c>
      <c r="E37" s="54" t="str">
        <f>العيادات!F429</f>
        <v>N/A</v>
      </c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</row>
    <row r="38" spans="1:26" ht="15.75" customHeight="1">
      <c r="A38" s="47"/>
      <c r="B38" s="47"/>
      <c r="C38" s="56">
        <v>30</v>
      </c>
      <c r="D38" s="55" t="s">
        <v>831</v>
      </c>
      <c r="E38" s="54" t="str">
        <f>العيادات!F435</f>
        <v>N/A</v>
      </c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</row>
    <row r="39" spans="1:26" ht="15.75" customHeight="1">
      <c r="A39" s="47"/>
      <c r="B39" s="47"/>
      <c r="C39" s="52">
        <v>31</v>
      </c>
      <c r="D39" s="55" t="s">
        <v>832</v>
      </c>
      <c r="E39" s="54" t="str">
        <f>العيادات!F453</f>
        <v>N/A</v>
      </c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</row>
    <row r="40" spans="1:26" ht="15.75" customHeight="1">
      <c r="A40" s="47"/>
      <c r="B40" s="47"/>
      <c r="C40" s="56">
        <v>32</v>
      </c>
      <c r="D40" s="55" t="s">
        <v>833</v>
      </c>
      <c r="E40" s="54" t="str">
        <f>العيادات!F463</f>
        <v>N/A</v>
      </c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</row>
    <row r="41" spans="1:26" ht="15.75" customHeight="1">
      <c r="A41" s="47"/>
      <c r="B41" s="47"/>
      <c r="C41" s="56">
        <v>33</v>
      </c>
      <c r="D41" s="55" t="s">
        <v>834</v>
      </c>
      <c r="E41" s="54" t="str">
        <f>العيادات!F501</f>
        <v>N/A</v>
      </c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</row>
    <row r="42" spans="1:26" ht="21" customHeight="1">
      <c r="A42" s="47"/>
      <c r="B42" s="47"/>
      <c r="C42" s="56">
        <v>34</v>
      </c>
      <c r="D42" s="55" t="s">
        <v>835</v>
      </c>
      <c r="E42" s="54" t="str">
        <f>العيادات!H560</f>
        <v>N/A</v>
      </c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</row>
    <row r="43" spans="1:26" ht="15.75" customHeight="1">
      <c r="A43" s="47"/>
      <c r="B43" s="47"/>
      <c r="C43" s="75" t="s">
        <v>836</v>
      </c>
      <c r="D43" s="76"/>
      <c r="E43" s="7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</row>
    <row r="44" spans="1:26" ht="15.75" customHeight="1">
      <c r="A44" s="47"/>
      <c r="B44" s="47"/>
      <c r="C44" s="52">
        <v>35</v>
      </c>
      <c r="D44" s="55" t="s">
        <v>837</v>
      </c>
      <c r="E44" s="57" t="str">
        <f>'مبادرات-البان'!G20</f>
        <v>N/A</v>
      </c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</row>
    <row r="45" spans="1:26" ht="15.75" customHeight="1">
      <c r="A45" s="47"/>
      <c r="B45" s="47"/>
      <c r="C45" s="56">
        <v>36</v>
      </c>
      <c r="D45" s="55" t="s">
        <v>838</v>
      </c>
      <c r="E45" s="57" t="str">
        <f>'مبادرات-البان'!G38</f>
        <v>N/A</v>
      </c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</row>
    <row r="46" spans="1:26" ht="15.75" customHeight="1">
      <c r="A46" s="47"/>
      <c r="B46" s="47"/>
      <c r="C46" s="52">
        <v>37</v>
      </c>
      <c r="D46" s="55" t="s">
        <v>839</v>
      </c>
      <c r="E46" s="57" t="str">
        <f>'مبادرات-البان'!G61</f>
        <v>N/A</v>
      </c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</row>
    <row r="47" spans="1:26" ht="15.75" customHeight="1">
      <c r="A47" s="47"/>
      <c r="B47" s="47"/>
      <c r="C47" s="56">
        <v>38</v>
      </c>
      <c r="D47" s="55" t="s">
        <v>840</v>
      </c>
      <c r="E47" s="57" t="str">
        <f>'مبادرات-البان'!G76</f>
        <v>N/A</v>
      </c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</row>
    <row r="48" spans="1:26" ht="15.75" customHeight="1">
      <c r="A48" s="47"/>
      <c r="B48" s="47"/>
      <c r="C48" s="52">
        <v>39</v>
      </c>
      <c r="D48" s="55" t="s">
        <v>841</v>
      </c>
      <c r="E48" s="57" t="str">
        <f>'مبادرات-البان'!G96</f>
        <v>N/A</v>
      </c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</row>
    <row r="49" spans="1:26" ht="15.75" customHeight="1">
      <c r="A49" s="47"/>
      <c r="B49" s="47"/>
      <c r="C49" s="56">
        <v>40</v>
      </c>
      <c r="D49" s="55" t="s">
        <v>842</v>
      </c>
      <c r="E49" s="57" t="str">
        <f>'مبادرات-البان'!G112</f>
        <v>N/A</v>
      </c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</row>
    <row r="50" spans="1:26" ht="15.75" customHeight="1">
      <c r="A50" s="47"/>
      <c r="B50" s="47"/>
      <c r="C50" s="52">
        <v>41</v>
      </c>
      <c r="D50" s="55" t="s">
        <v>843</v>
      </c>
      <c r="E50" s="57" t="str">
        <f>'مبادرات-البان'!G126</f>
        <v>N/A</v>
      </c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</row>
    <row r="51" spans="1:26" ht="15.75" customHeight="1">
      <c r="A51" s="47"/>
      <c r="B51" s="47"/>
      <c r="C51" s="56">
        <v>42</v>
      </c>
      <c r="D51" s="55" t="s">
        <v>844</v>
      </c>
      <c r="E51" s="57" t="str">
        <f>'مبادرات-البان'!G146</f>
        <v>N/A</v>
      </c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</row>
    <row r="52" spans="1:26" ht="27" customHeight="1">
      <c r="A52" s="47"/>
      <c r="B52" s="47"/>
      <c r="C52" s="56">
        <v>43</v>
      </c>
      <c r="D52" s="55" t="s">
        <v>779</v>
      </c>
      <c r="E52" s="57" t="str">
        <f>'مبادرات-البان'!G167</f>
        <v>N/A</v>
      </c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</row>
    <row r="53" spans="1:26" ht="21" customHeight="1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</row>
    <row r="54" spans="1:26" ht="18.75" customHeight="1">
      <c r="A54" s="47"/>
      <c r="B54" s="47"/>
      <c r="C54" s="78" t="s">
        <v>845</v>
      </c>
      <c r="D54" s="79"/>
      <c r="E54" s="58" t="str">
        <f>IF(COUNT(E44:E52,E9:E42)=0,"N/A",SUM((E44:E52,E9:E42))/(COUNT((E44:E52,E9:E42))))</f>
        <v>N/A</v>
      </c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</row>
    <row r="55" spans="1:26" ht="23.25" customHeight="1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</row>
    <row r="56" spans="1:26" ht="22.5" customHeight="1">
      <c r="A56" s="47"/>
      <c r="B56" s="63" t="s">
        <v>846</v>
      </c>
      <c r="C56" s="64"/>
      <c r="D56" s="47"/>
      <c r="E56" s="69" t="s">
        <v>847</v>
      </c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</row>
    <row r="57" spans="1:26" ht="14.25" customHeight="1">
      <c r="A57" s="47"/>
      <c r="B57" s="65"/>
      <c r="C57" s="66"/>
      <c r="D57" s="47"/>
      <c r="E57" s="70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</row>
    <row r="58" spans="1:26" ht="14.25" customHeight="1">
      <c r="A58" s="47"/>
      <c r="B58" s="67"/>
      <c r="C58" s="68"/>
      <c r="D58" s="47"/>
      <c r="E58" s="71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</row>
    <row r="59" spans="1:26" ht="14.25" customHeight="1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</row>
    <row r="60" spans="1:26" ht="22.5" customHeight="1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</row>
    <row r="61" spans="1:26" ht="22.5" customHeight="1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</row>
    <row r="62" spans="1:26" ht="22.5" customHeight="1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</row>
    <row r="63" spans="1:26" ht="22.5" customHeight="1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</row>
    <row r="64" spans="1:26" ht="15.75" customHeight="1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</row>
    <row r="65" spans="1:26" ht="15.75" customHeight="1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</row>
    <row r="66" spans="1:26" ht="15.75" customHeight="1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</row>
    <row r="67" spans="1:26" ht="15.75" customHeight="1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</row>
    <row r="68" spans="1:26" ht="15.75" customHeight="1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</row>
    <row r="69" spans="1:26" ht="15.75" customHeight="1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</row>
    <row r="70" spans="1:26" ht="15.75" customHeight="1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</row>
    <row r="71" spans="1:26" ht="15.75" customHeight="1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</row>
    <row r="72" spans="1:26" ht="15.75" customHeight="1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</row>
    <row r="73" spans="1:26" ht="15.75" customHeight="1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</row>
    <row r="74" spans="1:26" ht="15.75" customHeight="1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</row>
    <row r="75" spans="1:26" ht="15.75" customHeight="1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</row>
    <row r="76" spans="1:26" ht="15.75" customHeight="1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</row>
    <row r="77" spans="1:26" ht="15.75" customHeight="1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</row>
    <row r="78" spans="1:26" ht="15.75" customHeight="1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</row>
    <row r="79" spans="1:26" ht="15.75" customHeight="1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</row>
    <row r="80" spans="1:26" ht="15.75" customHeight="1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</row>
    <row r="81" spans="1:26" ht="15.75" customHeight="1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</row>
    <row r="82" spans="1:26" ht="15.75" customHeight="1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</row>
    <row r="83" spans="1:26" ht="15.75" customHeight="1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</row>
    <row r="84" spans="1:26" ht="15.75" customHeight="1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</row>
    <row r="85" spans="1:26" ht="15.75" customHeight="1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</row>
    <row r="86" spans="1:26" ht="15.75" customHeight="1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</row>
    <row r="87" spans="1:26" ht="15.75" customHeight="1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</row>
    <row r="88" spans="1:26" ht="15.75" customHeight="1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</row>
    <row r="89" spans="1:26" ht="15.75" customHeight="1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</row>
    <row r="90" spans="1:26" ht="15.75" customHeight="1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</row>
    <row r="91" spans="1:26" ht="15.75" customHeight="1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</row>
    <row r="92" spans="1:26" ht="15.75" customHeight="1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</row>
    <row r="93" spans="1:26" ht="15.75" customHeight="1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</row>
    <row r="94" spans="1:26" ht="15.75" customHeight="1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</row>
    <row r="95" spans="1:26" ht="15.75" customHeight="1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</row>
    <row r="96" spans="1:26" ht="15.75" customHeight="1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</row>
    <row r="97" spans="1:26" ht="15.75" customHeight="1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</row>
    <row r="98" spans="1:26" ht="15.75" customHeight="1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</row>
    <row r="99" spans="1:26" ht="15.75" customHeight="1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</row>
    <row r="100" spans="1:26" ht="15.75" customHeight="1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</row>
    <row r="101" spans="1:26" ht="15.75" customHeight="1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</row>
    <row r="102" spans="1:26" ht="15.75" customHeight="1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</row>
    <row r="103" spans="1:26" ht="15.75" customHeight="1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</row>
    <row r="104" spans="1:26" ht="15.75" customHeight="1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</row>
    <row r="105" spans="1:26" ht="15.75" customHeight="1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</row>
    <row r="106" spans="1:26" ht="15.75" customHeight="1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</row>
    <row r="107" spans="1:26" ht="15.75" customHeight="1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</row>
    <row r="108" spans="1:26" ht="15.75" customHeight="1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</row>
    <row r="109" spans="1:26" ht="15.75" customHeight="1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</row>
    <row r="110" spans="1:26" ht="15.75" customHeight="1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</row>
    <row r="111" spans="1:26" ht="15.75" customHeight="1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</row>
    <row r="112" spans="1:26" ht="15.75" customHeight="1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</row>
    <row r="113" spans="1:26" ht="15.75" customHeight="1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</row>
    <row r="114" spans="1:26" ht="15.75" customHeight="1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</row>
    <row r="115" spans="1:26" ht="15.75" customHeight="1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</row>
    <row r="116" spans="1:26" ht="15.75" customHeight="1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</row>
    <row r="117" spans="1:26" ht="15.75" customHeight="1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</row>
    <row r="118" spans="1:26" ht="15.75" customHeight="1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</row>
    <row r="119" spans="1:26" ht="15.75" customHeight="1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</row>
    <row r="120" spans="1:26" ht="15.75" customHeight="1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</row>
    <row r="121" spans="1:26" ht="15.75" customHeight="1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</row>
    <row r="122" spans="1:26" ht="15.75" customHeight="1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</row>
    <row r="123" spans="1:26" ht="15.75" customHeight="1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</row>
    <row r="124" spans="1:26" ht="15.75" customHeight="1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</row>
    <row r="125" spans="1:26" ht="15.75" customHeight="1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</row>
    <row r="126" spans="1:26" ht="15.75" customHeight="1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</row>
    <row r="127" spans="1:26" ht="15.75" customHeight="1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</row>
    <row r="128" spans="1:26" ht="15.75" customHeight="1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</row>
    <row r="129" spans="1:26" ht="15.75" customHeight="1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</row>
    <row r="130" spans="1:26" ht="15.75" customHeight="1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</row>
    <row r="131" spans="1:26" ht="15.75" customHeight="1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</row>
    <row r="132" spans="1:26" ht="15.75" customHeight="1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</row>
    <row r="133" spans="1:26" ht="15.75" customHeight="1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</row>
    <row r="134" spans="1:26" ht="15.75" customHeight="1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</row>
    <row r="135" spans="1:26" ht="15.75" customHeight="1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</row>
    <row r="136" spans="1:26" ht="15.75" customHeight="1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</row>
    <row r="137" spans="1:26" ht="15.75" customHeight="1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</row>
    <row r="138" spans="1:26" ht="15.75" customHeight="1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</row>
    <row r="139" spans="1:26" ht="15.75" customHeight="1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</row>
    <row r="140" spans="1:26" ht="15.75" customHeight="1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</row>
    <row r="141" spans="1:26" ht="15.75" customHeight="1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</row>
    <row r="142" spans="1:26" ht="15.75" customHeight="1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</row>
    <row r="143" spans="1:26" ht="15.75" customHeight="1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</row>
    <row r="144" spans="1:26" ht="15.75" customHeight="1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</row>
    <row r="145" spans="1:26" ht="15.75" customHeight="1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</row>
    <row r="146" spans="1:26" ht="15.75" customHeight="1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</row>
    <row r="147" spans="1:26" ht="15.75" customHeight="1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</row>
    <row r="148" spans="1:26" ht="15.75" customHeight="1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</row>
    <row r="149" spans="1:26" ht="15.75" customHeight="1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</row>
    <row r="150" spans="1:26" ht="15.75" customHeight="1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</row>
    <row r="151" spans="1:26" ht="15.75" customHeight="1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</row>
    <row r="152" spans="1:26" ht="15.75" customHeight="1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</row>
    <row r="153" spans="1:26" ht="15.75" customHeight="1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</row>
    <row r="154" spans="1:26" ht="15.75" customHeight="1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</row>
    <row r="155" spans="1:26" ht="15.75" customHeight="1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</row>
    <row r="156" spans="1:26" ht="15.75" customHeight="1">
      <c r="A156" s="47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</row>
    <row r="157" spans="1:26" ht="15.75" customHeight="1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</row>
    <row r="158" spans="1:26" ht="15.75" customHeight="1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</row>
    <row r="159" spans="1:26" ht="15.75" customHeight="1">
      <c r="A159" s="47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</row>
    <row r="160" spans="1:26" ht="15.75" customHeight="1">
      <c r="A160" s="47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</row>
    <row r="161" spans="1:26" ht="15.75" customHeight="1">
      <c r="A161" s="47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</row>
    <row r="162" spans="1:26" ht="15.75" customHeight="1">
      <c r="A162" s="47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</row>
    <row r="163" spans="1:26" ht="15.75" customHeight="1">
      <c r="A163" s="47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</row>
    <row r="164" spans="1:26" ht="15.75" customHeight="1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</row>
    <row r="165" spans="1:26" ht="15.75" customHeight="1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</row>
    <row r="166" spans="1:26" ht="15.75" customHeight="1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</row>
    <row r="167" spans="1:26" ht="15.75" customHeight="1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</row>
    <row r="168" spans="1:26" ht="15.75" customHeight="1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</row>
    <row r="169" spans="1:26" ht="15.75" customHeight="1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</row>
    <row r="170" spans="1:26" ht="15.75" customHeight="1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</row>
    <row r="171" spans="1:26" ht="15.75" customHeight="1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</row>
    <row r="172" spans="1:26" ht="15.75" customHeight="1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</row>
    <row r="173" spans="1:26" ht="15.75" customHeight="1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</row>
    <row r="174" spans="1:26" ht="15.75" customHeight="1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</row>
    <row r="175" spans="1:26" ht="15.75" customHeight="1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</row>
    <row r="176" spans="1:26" ht="15.75" customHeight="1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</row>
    <row r="177" spans="1:26" ht="15.75" customHeight="1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</row>
    <row r="178" spans="1:26" ht="15.75" customHeight="1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</row>
    <row r="179" spans="1:26" ht="15.75" customHeight="1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</row>
    <row r="180" spans="1:26" ht="15.75" customHeight="1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</row>
    <row r="181" spans="1:26" ht="15.75" customHeight="1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</row>
    <row r="182" spans="1:26" ht="15.75" customHeight="1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</row>
    <row r="183" spans="1:26" ht="15.75" customHeight="1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</row>
    <row r="184" spans="1:26" ht="15.75" customHeight="1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</row>
    <row r="185" spans="1:26" ht="15.75" customHeight="1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</row>
    <row r="186" spans="1:26" ht="15.75" customHeight="1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</row>
    <row r="187" spans="1:26" ht="15.75" customHeight="1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</row>
    <row r="188" spans="1:26" ht="15.75" customHeight="1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</row>
    <row r="189" spans="1:26" ht="15.75" customHeight="1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</row>
    <row r="190" spans="1:26" ht="15.75" customHeight="1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</row>
    <row r="191" spans="1:26" ht="15.75" customHeight="1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</row>
    <row r="192" spans="1:26" ht="15.75" customHeight="1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</row>
    <row r="193" spans="1:26" ht="15.75" customHeight="1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</row>
    <row r="194" spans="1:26" ht="15.75" customHeight="1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</row>
    <row r="195" spans="1:26" ht="15.75" customHeight="1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</row>
    <row r="196" spans="1:26" ht="15.75" customHeight="1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</row>
    <row r="197" spans="1:26" ht="15.75" customHeight="1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</row>
    <row r="198" spans="1:26" ht="15.75" customHeight="1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</row>
    <row r="199" spans="1:26" ht="15.75" customHeight="1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</row>
    <row r="200" spans="1:26" ht="15.75" customHeight="1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</row>
    <row r="201" spans="1:26" ht="15.75" customHeight="1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</row>
    <row r="202" spans="1:26" ht="15.75" customHeight="1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</row>
    <row r="203" spans="1:26" ht="15.75" customHeight="1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</row>
    <row r="204" spans="1:26" ht="15.75" customHeight="1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</row>
    <row r="205" spans="1:26" ht="15.75" customHeight="1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</row>
    <row r="206" spans="1:26" ht="15.75" customHeight="1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</row>
    <row r="207" spans="1:26" ht="15.75" customHeight="1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</row>
    <row r="208" spans="1:26" ht="15.75" customHeight="1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</row>
    <row r="209" spans="1:26" ht="15.75" customHeight="1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</row>
    <row r="210" spans="1:26" ht="15.75" customHeight="1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</row>
    <row r="211" spans="1:26" ht="15.75" customHeight="1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</row>
    <row r="212" spans="1:26" ht="15.75" customHeight="1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</row>
    <row r="213" spans="1:26" ht="15.75" customHeight="1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</row>
    <row r="214" spans="1:26" ht="15.75" customHeight="1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</row>
    <row r="215" spans="1:26" ht="15.75" customHeight="1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</row>
    <row r="216" spans="1:26" ht="15.75" customHeight="1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</row>
    <row r="217" spans="1:26" ht="15.75" customHeight="1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</row>
    <row r="218" spans="1:26" ht="15.75" customHeight="1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</row>
    <row r="219" spans="1:26" ht="15.75" customHeight="1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</row>
    <row r="220" spans="1:26" ht="15.75" customHeight="1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</row>
    <row r="221" spans="1:26" ht="15.75" customHeight="1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</row>
    <row r="222" spans="1:26" ht="15.75" customHeight="1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</row>
    <row r="223" spans="1:26" ht="15.75" customHeight="1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</row>
    <row r="224" spans="1:26" ht="15.75" customHeight="1">
      <c r="A224" s="47"/>
      <c r="B224" s="47"/>
      <c r="C224" s="47"/>
      <c r="D224" s="47"/>
      <c r="E224" s="47"/>
      <c r="F224" s="47"/>
      <c r="G224" s="47"/>
      <c r="H224" s="47"/>
      <c r="I224" s="47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</row>
    <row r="225" spans="1:26" ht="15.75" customHeight="1">
      <c r="A225" s="47"/>
      <c r="B225" s="47"/>
      <c r="C225" s="47"/>
      <c r="D225" s="47"/>
      <c r="E225" s="47"/>
      <c r="F225" s="47"/>
      <c r="G225" s="47"/>
      <c r="H225" s="47"/>
      <c r="I225" s="47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</row>
    <row r="226" spans="1:26" ht="15.75" customHeight="1">
      <c r="A226" s="47"/>
      <c r="B226" s="47"/>
      <c r="C226" s="47"/>
      <c r="D226" s="47"/>
      <c r="E226" s="47"/>
      <c r="F226" s="47"/>
      <c r="G226" s="47"/>
      <c r="H226" s="47"/>
      <c r="I226" s="47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</row>
    <row r="227" spans="1:26" ht="15.75" customHeight="1">
      <c r="A227" s="47"/>
      <c r="B227" s="47"/>
      <c r="C227" s="47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</row>
    <row r="228" spans="1:26" ht="15.75" customHeight="1">
      <c r="A228" s="47"/>
      <c r="B228" s="47"/>
      <c r="C228" s="47"/>
      <c r="D228" s="47"/>
      <c r="E228" s="47"/>
      <c r="F228" s="47"/>
      <c r="G228" s="47"/>
      <c r="H228" s="47"/>
      <c r="I228" s="47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</row>
    <row r="229" spans="1:26" ht="15.75" customHeight="1">
      <c r="A229" s="47"/>
      <c r="B229" s="47"/>
      <c r="C229" s="47"/>
      <c r="D229" s="47"/>
      <c r="E229" s="47"/>
      <c r="F229" s="47"/>
      <c r="G229" s="47"/>
      <c r="H229" s="47"/>
      <c r="I229" s="47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</row>
    <row r="230" spans="1:26" ht="15.75" customHeight="1">
      <c r="A230" s="47"/>
      <c r="B230" s="47"/>
      <c r="C230" s="47"/>
      <c r="D230" s="47"/>
      <c r="E230" s="47"/>
      <c r="F230" s="47"/>
      <c r="G230" s="47"/>
      <c r="H230" s="47"/>
      <c r="I230" s="47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</row>
    <row r="231" spans="1:26" ht="15.75" customHeight="1">
      <c r="A231" s="47"/>
      <c r="B231" s="47"/>
      <c r="C231" s="47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</row>
    <row r="232" spans="1:26" ht="15.75" customHeight="1">
      <c r="A232" s="47"/>
      <c r="B232" s="47"/>
      <c r="C232" s="47"/>
      <c r="D232" s="47"/>
      <c r="E232" s="47"/>
      <c r="F232" s="47"/>
      <c r="G232" s="47"/>
      <c r="H232" s="47"/>
      <c r="I232" s="47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</row>
    <row r="233" spans="1:26" ht="15.75" customHeight="1">
      <c r="A233" s="47"/>
      <c r="B233" s="47"/>
      <c r="C233" s="47"/>
      <c r="D233" s="47"/>
      <c r="E233" s="47"/>
      <c r="F233" s="47"/>
      <c r="G233" s="47"/>
      <c r="H233" s="47"/>
      <c r="I233" s="47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</row>
    <row r="234" spans="1:26" ht="15.75" customHeight="1">
      <c r="A234" s="47"/>
      <c r="B234" s="47"/>
      <c r="C234" s="47"/>
      <c r="D234" s="47"/>
      <c r="E234" s="47"/>
      <c r="F234" s="47"/>
      <c r="G234" s="47"/>
      <c r="H234" s="47"/>
      <c r="I234" s="47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</row>
    <row r="235" spans="1:26" ht="15.75" customHeight="1">
      <c r="A235" s="47"/>
      <c r="B235" s="47"/>
      <c r="C235" s="47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</row>
    <row r="236" spans="1:26" ht="15.75" customHeight="1">
      <c r="A236" s="47"/>
      <c r="B236" s="47"/>
      <c r="C236" s="47"/>
      <c r="D236" s="47"/>
      <c r="E236" s="47"/>
      <c r="F236" s="47"/>
      <c r="G236" s="47"/>
      <c r="H236" s="47"/>
      <c r="I236" s="47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</row>
    <row r="237" spans="1:26" ht="15.75" customHeight="1">
      <c r="A237" s="47"/>
      <c r="B237" s="47"/>
      <c r="C237" s="47"/>
      <c r="D237" s="47"/>
      <c r="E237" s="47"/>
      <c r="F237" s="47"/>
      <c r="G237" s="47"/>
      <c r="H237" s="47"/>
      <c r="I237" s="47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</row>
    <row r="238" spans="1:26" ht="15.75" customHeight="1">
      <c r="A238" s="47"/>
      <c r="B238" s="47"/>
      <c r="C238" s="47"/>
      <c r="D238" s="47"/>
      <c r="E238" s="47"/>
      <c r="F238" s="47"/>
      <c r="G238" s="47"/>
      <c r="H238" s="47"/>
      <c r="I238" s="47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</row>
    <row r="239" spans="1:26" ht="15.75" customHeight="1">
      <c r="A239" s="47"/>
      <c r="B239" s="47"/>
      <c r="C239" s="47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</row>
    <row r="240" spans="1:26" ht="15.75" customHeight="1">
      <c r="A240" s="47"/>
      <c r="B240" s="47"/>
      <c r="C240" s="47"/>
      <c r="D240" s="47"/>
      <c r="E240" s="47"/>
      <c r="F240" s="47"/>
      <c r="G240" s="47"/>
      <c r="H240" s="47"/>
      <c r="I240" s="47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</row>
    <row r="241" spans="1:26" ht="15.75" customHeight="1">
      <c r="A241" s="47"/>
      <c r="B241" s="47"/>
      <c r="C241" s="47"/>
      <c r="D241" s="47"/>
      <c r="E241" s="47"/>
      <c r="F241" s="47"/>
      <c r="G241" s="47"/>
      <c r="H241" s="47"/>
      <c r="I241" s="47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</row>
    <row r="242" spans="1:26" ht="15.75" customHeight="1">
      <c r="A242" s="47"/>
      <c r="B242" s="47"/>
      <c r="C242" s="47"/>
      <c r="D242" s="47"/>
      <c r="E242" s="47"/>
      <c r="F242" s="47"/>
      <c r="G242" s="47"/>
      <c r="H242" s="47"/>
      <c r="I242" s="47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</row>
    <row r="243" spans="1:26" ht="15.75" customHeight="1">
      <c r="A243" s="47"/>
      <c r="B243" s="47"/>
      <c r="C243" s="47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</row>
    <row r="244" spans="1:26" ht="15.75" customHeight="1">
      <c r="A244" s="47"/>
      <c r="B244" s="47"/>
      <c r="C244" s="47"/>
      <c r="D244" s="47"/>
      <c r="E244" s="47"/>
      <c r="F244" s="47"/>
      <c r="G244" s="47"/>
      <c r="H244" s="47"/>
      <c r="I244" s="47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</row>
    <row r="245" spans="1:26" ht="15.75" customHeight="1">
      <c r="A245" s="47"/>
      <c r="B245" s="47"/>
      <c r="C245" s="47"/>
      <c r="D245" s="47"/>
      <c r="E245" s="47"/>
      <c r="F245" s="47"/>
      <c r="G245" s="47"/>
      <c r="H245" s="47"/>
      <c r="I245" s="47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</row>
    <row r="246" spans="1:26" ht="15.75" customHeight="1">
      <c r="A246" s="47"/>
      <c r="B246" s="47"/>
      <c r="C246" s="47"/>
      <c r="D246" s="47"/>
      <c r="E246" s="47"/>
      <c r="F246" s="47"/>
      <c r="G246" s="47"/>
      <c r="H246" s="47"/>
      <c r="I246" s="47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</row>
    <row r="247" spans="1:26" ht="15.75" customHeight="1">
      <c r="A247" s="47"/>
      <c r="B247" s="47"/>
      <c r="C247" s="47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</row>
    <row r="248" spans="1:26" ht="15.75" customHeight="1">
      <c r="A248" s="47"/>
      <c r="B248" s="47"/>
      <c r="C248" s="47"/>
      <c r="D248" s="47"/>
      <c r="E248" s="47"/>
      <c r="F248" s="47"/>
      <c r="G248" s="47"/>
      <c r="H248" s="47"/>
      <c r="I248" s="47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</row>
    <row r="249" spans="1:26" ht="15.75" customHeight="1">
      <c r="A249" s="47"/>
      <c r="B249" s="47"/>
      <c r="C249" s="47"/>
      <c r="D249" s="47"/>
      <c r="E249" s="47"/>
      <c r="F249" s="47"/>
      <c r="G249" s="47"/>
      <c r="H249" s="47"/>
      <c r="I249" s="47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</row>
    <row r="250" spans="1:26" ht="15.75" customHeight="1">
      <c r="A250" s="47"/>
      <c r="B250" s="47"/>
      <c r="C250" s="47"/>
      <c r="D250" s="47"/>
      <c r="E250" s="47"/>
      <c r="F250" s="47"/>
      <c r="G250" s="47"/>
      <c r="H250" s="47"/>
      <c r="I250" s="47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</row>
    <row r="251" spans="1:26" ht="15.75" customHeight="1">
      <c r="A251" s="47"/>
      <c r="B251" s="47"/>
      <c r="C251" s="47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</row>
    <row r="252" spans="1:26" ht="15.75" customHeight="1">
      <c r="A252" s="47"/>
      <c r="B252" s="47"/>
      <c r="C252" s="47"/>
      <c r="D252" s="47"/>
      <c r="E252" s="47"/>
      <c r="F252" s="47"/>
      <c r="G252" s="47"/>
      <c r="H252" s="47"/>
      <c r="I252" s="47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</row>
    <row r="253" spans="1:26" ht="15.75" customHeight="1">
      <c r="A253" s="47"/>
      <c r="B253" s="47"/>
      <c r="C253" s="47"/>
      <c r="D253" s="47"/>
      <c r="E253" s="47"/>
      <c r="F253" s="47"/>
      <c r="G253" s="47"/>
      <c r="H253" s="47"/>
      <c r="I253" s="47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</row>
    <row r="254" spans="1:26" ht="15.75" customHeight="1">
      <c r="A254" s="47"/>
      <c r="B254" s="47"/>
      <c r="C254" s="47"/>
      <c r="D254" s="47"/>
      <c r="E254" s="47"/>
      <c r="F254" s="47"/>
      <c r="G254" s="47"/>
      <c r="H254" s="47"/>
      <c r="I254" s="47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</row>
    <row r="255" spans="1:26" ht="15.75" customHeight="1">
      <c r="A255" s="47"/>
      <c r="B255" s="47"/>
      <c r="C255" s="47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</row>
    <row r="256" spans="1:26" ht="15.75" customHeight="1">
      <c r="A256" s="47"/>
      <c r="B256" s="47"/>
      <c r="C256" s="47"/>
      <c r="D256" s="47"/>
      <c r="E256" s="47"/>
      <c r="F256" s="47"/>
      <c r="G256" s="47"/>
      <c r="H256" s="47"/>
      <c r="I256" s="47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</row>
    <row r="257" spans="1:26" ht="15.75" customHeight="1">
      <c r="A257" s="47"/>
      <c r="B257" s="47"/>
      <c r="C257" s="47"/>
      <c r="D257" s="47"/>
      <c r="E257" s="47"/>
      <c r="F257" s="47"/>
      <c r="G257" s="47"/>
      <c r="H257" s="47"/>
      <c r="I257" s="47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</row>
    <row r="258" spans="1:26" ht="15.75" customHeight="1">
      <c r="A258" s="47"/>
      <c r="B258" s="47"/>
      <c r="C258" s="47"/>
      <c r="D258" s="47"/>
      <c r="E258" s="47"/>
      <c r="F258" s="47"/>
      <c r="G258" s="47"/>
      <c r="H258" s="47"/>
      <c r="I258" s="47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</row>
    <row r="259" spans="1:26" ht="15.75" customHeight="1">
      <c r="A259" s="47"/>
      <c r="B259" s="47"/>
      <c r="C259" s="47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</row>
    <row r="260" spans="1:26" ht="15.75" customHeight="1">
      <c r="A260" s="47"/>
      <c r="B260" s="47"/>
      <c r="C260" s="47"/>
      <c r="D260" s="47"/>
      <c r="E260" s="47"/>
      <c r="F260" s="47"/>
      <c r="G260" s="47"/>
      <c r="H260" s="47"/>
      <c r="I260" s="47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</row>
    <row r="261" spans="1:26" ht="15.75" customHeight="1">
      <c r="A261" s="47"/>
      <c r="B261" s="47"/>
      <c r="C261" s="47"/>
      <c r="D261" s="47"/>
      <c r="E261" s="47"/>
      <c r="F261" s="47"/>
      <c r="G261" s="47"/>
      <c r="H261" s="47"/>
      <c r="I261" s="47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</row>
    <row r="262" spans="1:26" ht="15.75" customHeight="1">
      <c r="A262" s="47"/>
      <c r="B262" s="47"/>
      <c r="C262" s="47"/>
      <c r="D262" s="47"/>
      <c r="E262" s="47"/>
      <c r="F262" s="47"/>
      <c r="G262" s="47"/>
      <c r="H262" s="47"/>
      <c r="I262" s="47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</row>
    <row r="263" spans="1:26" ht="15.75" customHeight="1">
      <c r="A263" s="47"/>
      <c r="B263" s="47"/>
      <c r="C263" s="47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</row>
    <row r="264" spans="1:26" ht="15.75" customHeight="1">
      <c r="A264" s="47"/>
      <c r="B264" s="47"/>
      <c r="C264" s="47"/>
      <c r="D264" s="47"/>
      <c r="E264" s="47"/>
      <c r="F264" s="47"/>
      <c r="G264" s="47"/>
      <c r="H264" s="47"/>
      <c r="I264" s="47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</row>
    <row r="265" spans="1:26" ht="15.75" customHeight="1">
      <c r="A265" s="47"/>
      <c r="B265" s="47"/>
      <c r="C265" s="47"/>
      <c r="D265" s="47"/>
      <c r="E265" s="47"/>
      <c r="F265" s="47"/>
      <c r="G265" s="47"/>
      <c r="H265" s="47"/>
      <c r="I265" s="47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</row>
    <row r="266" spans="1:26" ht="15.75" customHeight="1">
      <c r="A266" s="47"/>
      <c r="B266" s="47"/>
      <c r="C266" s="47"/>
      <c r="D266" s="47"/>
      <c r="E266" s="47"/>
      <c r="F266" s="47"/>
      <c r="G266" s="47"/>
      <c r="H266" s="47"/>
      <c r="I266" s="47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</row>
    <row r="267" spans="1:26" ht="15.75" customHeight="1">
      <c r="A267" s="47"/>
      <c r="B267" s="47"/>
      <c r="C267" s="47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</row>
    <row r="268" spans="1:26" ht="15.75" customHeight="1">
      <c r="A268" s="47"/>
      <c r="B268" s="47"/>
      <c r="C268" s="47"/>
      <c r="D268" s="47"/>
      <c r="E268" s="47"/>
      <c r="F268" s="47"/>
      <c r="G268" s="47"/>
      <c r="H268" s="47"/>
      <c r="I268" s="47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</row>
    <row r="269" spans="1:26" ht="15.75" customHeight="1">
      <c r="A269" s="47"/>
      <c r="B269" s="47"/>
      <c r="C269" s="47"/>
      <c r="D269" s="47"/>
      <c r="E269" s="47"/>
      <c r="F269" s="47"/>
      <c r="G269" s="47"/>
      <c r="H269" s="47"/>
      <c r="I269" s="47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</row>
    <row r="270" spans="1:26" ht="15.75" customHeight="1">
      <c r="A270" s="47"/>
      <c r="B270" s="47"/>
      <c r="C270" s="47"/>
      <c r="D270" s="47"/>
      <c r="E270" s="47"/>
      <c r="F270" s="47"/>
      <c r="G270" s="47"/>
      <c r="H270" s="47"/>
      <c r="I270" s="47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</row>
    <row r="271" spans="1:26" ht="15.75" customHeight="1">
      <c r="A271" s="47"/>
      <c r="B271" s="47"/>
      <c r="C271" s="47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</row>
    <row r="272" spans="1:26" ht="15.75" customHeight="1">
      <c r="A272" s="47"/>
      <c r="B272" s="47"/>
      <c r="C272" s="47"/>
      <c r="D272" s="47"/>
      <c r="E272" s="47"/>
      <c r="F272" s="47"/>
      <c r="G272" s="47"/>
      <c r="H272" s="47"/>
      <c r="I272" s="47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</row>
    <row r="273" spans="1:26" ht="15.75" customHeight="1">
      <c r="A273" s="47"/>
      <c r="B273" s="47"/>
      <c r="C273" s="47"/>
      <c r="D273" s="47"/>
      <c r="E273" s="47"/>
      <c r="F273" s="47"/>
      <c r="G273" s="47"/>
      <c r="H273" s="47"/>
      <c r="I273" s="47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</row>
    <row r="274" spans="1:26" ht="15.75" customHeight="1">
      <c r="A274" s="47"/>
      <c r="B274" s="47"/>
      <c r="C274" s="47"/>
      <c r="D274" s="47"/>
      <c r="E274" s="47"/>
      <c r="F274" s="47"/>
      <c r="G274" s="47"/>
      <c r="H274" s="47"/>
      <c r="I274" s="47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</row>
    <row r="275" spans="1:26" ht="15.75" customHeight="1">
      <c r="A275" s="47"/>
      <c r="B275" s="47"/>
      <c r="C275" s="47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</row>
    <row r="276" spans="1:26" ht="15.75" customHeight="1">
      <c r="A276" s="47"/>
      <c r="B276" s="47"/>
      <c r="C276" s="47"/>
      <c r="D276" s="47"/>
      <c r="E276" s="47"/>
      <c r="F276" s="47"/>
      <c r="G276" s="47"/>
      <c r="H276" s="47"/>
      <c r="I276" s="47"/>
      <c r="J276" s="47"/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</row>
    <row r="277" spans="1:26" ht="15.75" customHeight="1">
      <c r="A277" s="47"/>
      <c r="B277" s="47"/>
      <c r="C277" s="47"/>
      <c r="D277" s="47"/>
      <c r="E277" s="47"/>
      <c r="F277" s="47"/>
      <c r="G277" s="47"/>
      <c r="H277" s="47"/>
      <c r="I277" s="47"/>
      <c r="J277" s="47"/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</row>
    <row r="278" spans="1:26" ht="15.75" customHeight="1">
      <c r="A278" s="47"/>
      <c r="B278" s="47"/>
      <c r="C278" s="47"/>
      <c r="D278" s="47"/>
      <c r="E278" s="47"/>
      <c r="F278" s="47"/>
      <c r="G278" s="47"/>
      <c r="H278" s="47"/>
      <c r="I278" s="47"/>
      <c r="J278" s="47"/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</row>
    <row r="279" spans="1:26" ht="15.75" customHeight="1">
      <c r="A279" s="47"/>
      <c r="B279" s="47"/>
      <c r="C279" s="47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</row>
    <row r="280" spans="1:26" ht="15.75" customHeight="1">
      <c r="A280" s="47"/>
      <c r="B280" s="47"/>
      <c r="C280" s="47"/>
      <c r="D280" s="47"/>
      <c r="E280" s="47"/>
      <c r="F280" s="47"/>
      <c r="G280" s="47"/>
      <c r="H280" s="47"/>
      <c r="I280" s="47"/>
      <c r="J280" s="47"/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</row>
    <row r="281" spans="1:26" ht="15.75" customHeight="1">
      <c r="A281" s="47"/>
      <c r="B281" s="47"/>
      <c r="C281" s="47"/>
      <c r="D281" s="47"/>
      <c r="E281" s="47"/>
      <c r="F281" s="47"/>
      <c r="G281" s="47"/>
      <c r="H281" s="47"/>
      <c r="I281" s="47"/>
      <c r="J281" s="47"/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</row>
    <row r="282" spans="1:26" ht="15.75" customHeight="1">
      <c r="A282" s="47"/>
      <c r="B282" s="47"/>
      <c r="C282" s="47"/>
      <c r="D282" s="47"/>
      <c r="E282" s="47"/>
      <c r="F282" s="47"/>
      <c r="G282" s="47"/>
      <c r="H282" s="47"/>
      <c r="I282" s="47"/>
      <c r="J282" s="47"/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</row>
    <row r="283" spans="1:26" ht="15.75" customHeight="1">
      <c r="A283" s="47"/>
      <c r="B283" s="47"/>
      <c r="C283" s="47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</row>
    <row r="284" spans="1:26" ht="15.75" customHeight="1">
      <c r="A284" s="47"/>
      <c r="B284" s="47"/>
      <c r="C284" s="47"/>
      <c r="D284" s="47"/>
      <c r="E284" s="47"/>
      <c r="F284" s="47"/>
      <c r="G284" s="47"/>
      <c r="H284" s="47"/>
      <c r="I284" s="47"/>
      <c r="J284" s="47"/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</row>
    <row r="285" spans="1:26" ht="15.75" customHeight="1">
      <c r="A285" s="47"/>
      <c r="B285" s="47"/>
      <c r="C285" s="47"/>
      <c r="D285" s="47"/>
      <c r="E285" s="47"/>
      <c r="F285" s="47"/>
      <c r="G285" s="47"/>
      <c r="H285" s="47"/>
      <c r="I285" s="47"/>
      <c r="J285" s="47"/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</row>
    <row r="286" spans="1:26" ht="15.75" customHeight="1">
      <c r="A286" s="47"/>
      <c r="B286" s="47"/>
      <c r="C286" s="47"/>
      <c r="D286" s="47"/>
      <c r="E286" s="47"/>
      <c r="F286" s="47"/>
      <c r="G286" s="47"/>
      <c r="H286" s="47"/>
      <c r="I286" s="47"/>
      <c r="J286" s="47"/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</row>
    <row r="287" spans="1:26" ht="15.75" customHeight="1">
      <c r="A287" s="47"/>
      <c r="B287" s="47"/>
      <c r="C287" s="47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</row>
    <row r="288" spans="1:26" ht="15.75" customHeight="1">
      <c r="A288" s="47"/>
      <c r="B288" s="47"/>
      <c r="C288" s="47"/>
      <c r="D288" s="47"/>
      <c r="E288" s="47"/>
      <c r="F288" s="47"/>
      <c r="G288" s="47"/>
      <c r="H288" s="47"/>
      <c r="I288" s="47"/>
      <c r="J288" s="47"/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</row>
    <row r="289" spans="1:26" ht="15.75" customHeight="1">
      <c r="A289" s="47"/>
      <c r="B289" s="47"/>
      <c r="C289" s="47"/>
      <c r="D289" s="47"/>
      <c r="E289" s="47"/>
      <c r="F289" s="47"/>
      <c r="G289" s="47"/>
      <c r="H289" s="47"/>
      <c r="I289" s="47"/>
      <c r="J289" s="47"/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</row>
    <row r="290" spans="1:26" ht="15.75" customHeight="1">
      <c r="A290" s="47"/>
      <c r="B290" s="47"/>
      <c r="C290" s="47"/>
      <c r="D290" s="47"/>
      <c r="E290" s="47"/>
      <c r="F290" s="47"/>
      <c r="G290" s="47"/>
      <c r="H290" s="47"/>
      <c r="I290" s="47"/>
      <c r="J290" s="47"/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</row>
    <row r="291" spans="1:26" ht="15.75" customHeight="1">
      <c r="A291" s="47"/>
      <c r="B291" s="47"/>
      <c r="C291" s="47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</row>
    <row r="292" spans="1:26" ht="15.75" customHeight="1">
      <c r="A292" s="47"/>
      <c r="B292" s="47"/>
      <c r="C292" s="47"/>
      <c r="D292" s="47"/>
      <c r="E292" s="47"/>
      <c r="F292" s="47"/>
      <c r="G292" s="47"/>
      <c r="H292" s="47"/>
      <c r="I292" s="47"/>
      <c r="J292" s="47"/>
      <c r="K292" s="47"/>
      <c r="L292" s="47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47"/>
      <c r="X292" s="47"/>
      <c r="Y292" s="47"/>
      <c r="Z292" s="47"/>
    </row>
    <row r="293" spans="1:26" ht="15.75" customHeight="1">
      <c r="A293" s="47"/>
      <c r="B293" s="47"/>
      <c r="C293" s="47"/>
      <c r="D293" s="47"/>
      <c r="E293" s="47"/>
      <c r="F293" s="47"/>
      <c r="G293" s="47"/>
      <c r="H293" s="47"/>
      <c r="I293" s="47"/>
      <c r="J293" s="47"/>
      <c r="K293" s="47"/>
      <c r="L293" s="47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</row>
    <row r="294" spans="1:26" ht="15.75" customHeight="1">
      <c r="A294" s="47"/>
      <c r="B294" s="47"/>
      <c r="C294" s="47"/>
      <c r="D294" s="47"/>
      <c r="E294" s="47"/>
      <c r="F294" s="47"/>
      <c r="G294" s="47"/>
      <c r="H294" s="47"/>
      <c r="I294" s="47"/>
      <c r="J294" s="47"/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</row>
    <row r="295" spans="1:26" ht="15.75" customHeight="1">
      <c r="A295" s="47"/>
      <c r="B295" s="47"/>
      <c r="C295" s="47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  <c r="Z295" s="47"/>
    </row>
    <row r="296" spans="1:26" ht="15.75" customHeight="1">
      <c r="A296" s="47"/>
      <c r="B296" s="47"/>
      <c r="C296" s="47"/>
      <c r="D296" s="47"/>
      <c r="E296" s="47"/>
      <c r="F296" s="47"/>
      <c r="G296" s="47"/>
      <c r="H296" s="47"/>
      <c r="I296" s="47"/>
      <c r="J296" s="47"/>
      <c r="K296" s="47"/>
      <c r="L296" s="47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</row>
    <row r="297" spans="1:26" ht="15.75" customHeight="1">
      <c r="A297" s="47"/>
      <c r="B297" s="47"/>
      <c r="C297" s="47"/>
      <c r="D297" s="47"/>
      <c r="E297" s="47"/>
      <c r="F297" s="47"/>
      <c r="G297" s="47"/>
      <c r="H297" s="47"/>
      <c r="I297" s="47"/>
      <c r="J297" s="47"/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</row>
    <row r="298" spans="1:26" ht="15.75" customHeight="1">
      <c r="A298" s="47"/>
      <c r="B298" s="47"/>
      <c r="C298" s="47"/>
      <c r="D298" s="47"/>
      <c r="E298" s="47"/>
      <c r="F298" s="47"/>
      <c r="G298" s="47"/>
      <c r="H298" s="47"/>
      <c r="I298" s="47"/>
      <c r="J298" s="47"/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</row>
    <row r="299" spans="1:26" ht="15.75" customHeight="1">
      <c r="A299" s="47"/>
      <c r="B299" s="47"/>
      <c r="C299" s="47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</row>
    <row r="300" spans="1:26" ht="15.75" customHeight="1">
      <c r="A300" s="47"/>
      <c r="B300" s="47"/>
      <c r="C300" s="47"/>
      <c r="D300" s="47"/>
      <c r="E300" s="47"/>
      <c r="F300" s="47"/>
      <c r="G300" s="47"/>
      <c r="H300" s="47"/>
      <c r="I300" s="47"/>
      <c r="J300" s="47"/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</row>
    <row r="301" spans="1:26" ht="15.75" customHeight="1">
      <c r="A301" s="47"/>
      <c r="B301" s="47"/>
      <c r="C301" s="47"/>
      <c r="D301" s="47"/>
      <c r="E301" s="47"/>
      <c r="F301" s="47"/>
      <c r="G301" s="47"/>
      <c r="H301" s="47"/>
      <c r="I301" s="47"/>
      <c r="J301" s="47"/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  <c r="Z301" s="47"/>
    </row>
    <row r="302" spans="1:26" ht="15.75" customHeight="1">
      <c r="A302" s="47"/>
      <c r="B302" s="47"/>
      <c r="C302" s="47"/>
      <c r="D302" s="47"/>
      <c r="E302" s="47"/>
      <c r="F302" s="47"/>
      <c r="G302" s="47"/>
      <c r="H302" s="47"/>
      <c r="I302" s="47"/>
      <c r="J302" s="47"/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  <c r="Z302" s="47"/>
    </row>
    <row r="303" spans="1:26" ht="15.75" customHeight="1">
      <c r="A303" s="47"/>
      <c r="B303" s="47"/>
      <c r="C303" s="47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  <c r="Z303" s="47"/>
    </row>
    <row r="304" spans="1:26" ht="15.75" customHeight="1">
      <c r="A304" s="47"/>
      <c r="B304" s="47"/>
      <c r="C304" s="47"/>
      <c r="D304" s="47"/>
      <c r="E304" s="47"/>
      <c r="F304" s="47"/>
      <c r="G304" s="47"/>
      <c r="H304" s="47"/>
      <c r="I304" s="47"/>
      <c r="J304" s="47"/>
      <c r="K304" s="47"/>
      <c r="L304" s="4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47"/>
      <c r="X304" s="47"/>
      <c r="Y304" s="47"/>
      <c r="Z304" s="47"/>
    </row>
    <row r="305" spans="1:26" ht="15.75" customHeight="1">
      <c r="A305" s="47"/>
      <c r="B305" s="47"/>
      <c r="C305" s="47"/>
      <c r="D305" s="47"/>
      <c r="E305" s="47"/>
      <c r="F305" s="47"/>
      <c r="G305" s="47"/>
      <c r="H305" s="47"/>
      <c r="I305" s="47"/>
      <c r="J305" s="47"/>
      <c r="K305" s="47"/>
      <c r="L305" s="47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47"/>
      <c r="X305" s="47"/>
      <c r="Y305" s="47"/>
      <c r="Z305" s="47"/>
    </row>
    <row r="306" spans="1:26" ht="15.75" customHeight="1">
      <c r="A306" s="47"/>
      <c r="B306" s="47"/>
      <c r="C306" s="47"/>
      <c r="D306" s="47"/>
      <c r="E306" s="47"/>
      <c r="F306" s="47"/>
      <c r="G306" s="47"/>
      <c r="H306" s="47"/>
      <c r="I306" s="47"/>
      <c r="J306" s="47"/>
      <c r="K306" s="47"/>
      <c r="L306" s="47"/>
      <c r="M306" s="47"/>
      <c r="N306" s="47"/>
      <c r="O306" s="47"/>
      <c r="P306" s="47"/>
      <c r="Q306" s="47"/>
      <c r="R306" s="47"/>
      <c r="S306" s="47"/>
      <c r="T306" s="47"/>
      <c r="U306" s="47"/>
      <c r="V306" s="47"/>
      <c r="W306" s="47"/>
      <c r="X306" s="47"/>
      <c r="Y306" s="47"/>
      <c r="Z306" s="47"/>
    </row>
    <row r="307" spans="1:26" ht="15.75" customHeight="1">
      <c r="A307" s="47"/>
      <c r="B307" s="47"/>
      <c r="C307" s="47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</row>
    <row r="308" spans="1:26" ht="15.75" customHeight="1">
      <c r="A308" s="47"/>
      <c r="B308" s="47"/>
      <c r="C308" s="47"/>
      <c r="D308" s="47"/>
      <c r="E308" s="47"/>
      <c r="F308" s="47"/>
      <c r="G308" s="47"/>
      <c r="H308" s="47"/>
      <c r="I308" s="47"/>
      <c r="J308" s="47"/>
      <c r="K308" s="47"/>
      <c r="L308" s="47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47"/>
      <c r="X308" s="47"/>
      <c r="Y308" s="47"/>
      <c r="Z308" s="47"/>
    </row>
    <row r="309" spans="1:26" ht="15.75" customHeight="1">
      <c r="A309" s="47"/>
      <c r="B309" s="47"/>
      <c r="C309" s="47"/>
      <c r="D309" s="47"/>
      <c r="E309" s="47"/>
      <c r="F309" s="47"/>
      <c r="G309" s="47"/>
      <c r="H309" s="47"/>
      <c r="I309" s="47"/>
      <c r="J309" s="47"/>
      <c r="K309" s="47"/>
      <c r="L309" s="47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47"/>
      <c r="X309" s="47"/>
      <c r="Y309" s="47"/>
      <c r="Z309" s="47"/>
    </row>
    <row r="310" spans="1:26" ht="15.75" customHeight="1">
      <c r="A310" s="47"/>
      <c r="B310" s="47"/>
      <c r="C310" s="47"/>
      <c r="D310" s="47"/>
      <c r="E310" s="47"/>
      <c r="F310" s="47"/>
      <c r="G310" s="47"/>
      <c r="H310" s="47"/>
      <c r="I310" s="47"/>
      <c r="J310" s="47"/>
      <c r="K310" s="47"/>
      <c r="L310" s="47"/>
      <c r="M310" s="47"/>
      <c r="N310" s="47"/>
      <c r="O310" s="47"/>
      <c r="P310" s="47"/>
      <c r="Q310" s="47"/>
      <c r="R310" s="47"/>
      <c r="S310" s="47"/>
      <c r="T310" s="47"/>
      <c r="U310" s="47"/>
      <c r="V310" s="47"/>
      <c r="W310" s="47"/>
      <c r="X310" s="47"/>
      <c r="Y310" s="47"/>
      <c r="Z310" s="47"/>
    </row>
    <row r="311" spans="1:26" ht="15.75" customHeight="1">
      <c r="A311" s="47"/>
      <c r="B311" s="47"/>
      <c r="C311" s="47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47"/>
      <c r="X311" s="47"/>
      <c r="Y311" s="47"/>
      <c r="Z311" s="47"/>
    </row>
    <row r="312" spans="1:26" ht="15.75" customHeight="1">
      <c r="A312" s="47"/>
      <c r="B312" s="47"/>
      <c r="C312" s="47"/>
      <c r="D312" s="47"/>
      <c r="E312" s="47"/>
      <c r="F312" s="47"/>
      <c r="G312" s="47"/>
      <c r="H312" s="47"/>
      <c r="I312" s="47"/>
      <c r="J312" s="47"/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</row>
    <row r="313" spans="1:26" ht="15.75" customHeight="1">
      <c r="A313" s="47"/>
      <c r="B313" s="47"/>
      <c r="C313" s="47"/>
      <c r="D313" s="47"/>
      <c r="E313" s="47"/>
      <c r="F313" s="47"/>
      <c r="G313" s="47"/>
      <c r="H313" s="47"/>
      <c r="I313" s="47"/>
      <c r="J313" s="47"/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</row>
    <row r="314" spans="1:26" ht="15.75" customHeight="1">
      <c r="A314" s="47"/>
      <c r="B314" s="47"/>
      <c r="C314" s="47"/>
      <c r="D314" s="47"/>
      <c r="E314" s="47"/>
      <c r="F314" s="47"/>
      <c r="G314" s="47"/>
      <c r="H314" s="47"/>
      <c r="I314" s="47"/>
      <c r="J314" s="47"/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</row>
    <row r="315" spans="1:26" ht="15.75" customHeight="1">
      <c r="A315" s="47"/>
      <c r="B315" s="47"/>
      <c r="C315" s="47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</row>
    <row r="316" spans="1:26" ht="15.75" customHeight="1">
      <c r="A316" s="47"/>
      <c r="B316" s="47"/>
      <c r="C316" s="47"/>
      <c r="D316" s="47"/>
      <c r="E316" s="47"/>
      <c r="F316" s="47"/>
      <c r="G316" s="47"/>
      <c r="H316" s="47"/>
      <c r="I316" s="47"/>
      <c r="J316" s="47"/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  <c r="Z316" s="47"/>
    </row>
    <row r="317" spans="1:26" ht="15.75" customHeight="1">
      <c r="A317" s="47"/>
      <c r="B317" s="47"/>
      <c r="C317" s="47"/>
      <c r="D317" s="47"/>
      <c r="E317" s="47"/>
      <c r="F317" s="47"/>
      <c r="G317" s="47"/>
      <c r="H317" s="47"/>
      <c r="I317" s="47"/>
      <c r="J317" s="47"/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</row>
    <row r="318" spans="1:26" ht="15.75" customHeight="1">
      <c r="A318" s="47"/>
      <c r="B318" s="47"/>
      <c r="C318" s="47"/>
      <c r="D318" s="47"/>
      <c r="E318" s="47"/>
      <c r="F318" s="47"/>
      <c r="G318" s="47"/>
      <c r="H318" s="47"/>
      <c r="I318" s="47"/>
      <c r="J318" s="47"/>
      <c r="K318" s="47"/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</row>
    <row r="319" spans="1:26" ht="15.75" customHeight="1">
      <c r="A319" s="47"/>
      <c r="B319" s="47"/>
      <c r="C319" s="47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  <c r="Z319" s="47"/>
    </row>
    <row r="320" spans="1:26" ht="15.75" customHeight="1">
      <c r="A320" s="47"/>
      <c r="B320" s="47"/>
      <c r="C320" s="47"/>
      <c r="D320" s="47"/>
      <c r="E320" s="47"/>
      <c r="F320" s="47"/>
      <c r="G320" s="47"/>
      <c r="H320" s="47"/>
      <c r="I320" s="47"/>
      <c r="J320" s="47"/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  <c r="Z320" s="47"/>
    </row>
    <row r="321" spans="1:26" ht="15.75" customHeight="1">
      <c r="A321" s="47"/>
      <c r="B321" s="47"/>
      <c r="C321" s="47"/>
      <c r="D321" s="47"/>
      <c r="E321" s="47"/>
      <c r="F321" s="47"/>
      <c r="G321" s="47"/>
      <c r="H321" s="47"/>
      <c r="I321" s="47"/>
      <c r="J321" s="47"/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  <c r="Z321" s="47"/>
    </row>
    <row r="322" spans="1:26" ht="15.75" customHeight="1">
      <c r="A322" s="47"/>
      <c r="B322" s="47"/>
      <c r="C322" s="47"/>
      <c r="D322" s="47"/>
      <c r="E322" s="47"/>
      <c r="F322" s="47"/>
      <c r="G322" s="47"/>
      <c r="H322" s="47"/>
      <c r="I322" s="47"/>
      <c r="J322" s="47"/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  <c r="Z322" s="47"/>
    </row>
    <row r="323" spans="1:26" ht="15.75" customHeight="1">
      <c r="A323" s="47"/>
      <c r="B323" s="47"/>
      <c r="C323" s="47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</row>
    <row r="324" spans="1:26" ht="15.75" customHeight="1">
      <c r="A324" s="47"/>
      <c r="B324" s="47"/>
      <c r="C324" s="47"/>
      <c r="D324" s="47"/>
      <c r="E324" s="47"/>
      <c r="F324" s="47"/>
      <c r="G324" s="47"/>
      <c r="H324" s="47"/>
      <c r="I324" s="47"/>
      <c r="J324" s="47"/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  <c r="Z324" s="47"/>
    </row>
    <row r="325" spans="1:26" ht="15.75" customHeight="1">
      <c r="A325" s="47"/>
      <c r="B325" s="47"/>
      <c r="C325" s="47"/>
      <c r="D325" s="47"/>
      <c r="E325" s="47"/>
      <c r="F325" s="47"/>
      <c r="G325" s="47"/>
      <c r="H325" s="47"/>
      <c r="I325" s="47"/>
      <c r="J325" s="47"/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</row>
    <row r="326" spans="1:26" ht="15.75" customHeight="1">
      <c r="A326" s="47"/>
      <c r="B326" s="47"/>
      <c r="C326" s="47"/>
      <c r="D326" s="47"/>
      <c r="E326" s="47"/>
      <c r="F326" s="47"/>
      <c r="G326" s="47"/>
      <c r="H326" s="47"/>
      <c r="I326" s="47"/>
      <c r="J326" s="47"/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</row>
    <row r="327" spans="1:26" ht="15.75" customHeight="1">
      <c r="A327" s="47"/>
      <c r="B327" s="47"/>
      <c r="C327" s="47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  <c r="S327" s="47"/>
      <c r="T327" s="47"/>
      <c r="U327" s="47"/>
      <c r="V327" s="47"/>
      <c r="W327" s="47"/>
      <c r="X327" s="47"/>
      <c r="Y327" s="47"/>
      <c r="Z327" s="47"/>
    </row>
    <row r="328" spans="1:26" ht="15.75" customHeight="1">
      <c r="A328" s="47"/>
      <c r="B328" s="47"/>
      <c r="C328" s="47"/>
      <c r="D328" s="47"/>
      <c r="E328" s="47"/>
      <c r="F328" s="47"/>
      <c r="G328" s="47"/>
      <c r="H328" s="47"/>
      <c r="I328" s="47"/>
      <c r="J328" s="47"/>
      <c r="K328" s="47"/>
      <c r="L328" s="47"/>
      <c r="M328" s="47"/>
      <c r="N328" s="47"/>
      <c r="O328" s="47"/>
      <c r="P328" s="47"/>
      <c r="Q328" s="47"/>
      <c r="R328" s="47"/>
      <c r="S328" s="47"/>
      <c r="T328" s="47"/>
      <c r="U328" s="47"/>
      <c r="V328" s="47"/>
      <c r="W328" s="47"/>
      <c r="X328" s="47"/>
      <c r="Y328" s="47"/>
      <c r="Z328" s="47"/>
    </row>
    <row r="329" spans="1:26" ht="15.75" customHeight="1">
      <c r="A329" s="47"/>
      <c r="B329" s="47"/>
      <c r="C329" s="47"/>
      <c r="D329" s="47"/>
      <c r="E329" s="47"/>
      <c r="F329" s="47"/>
      <c r="G329" s="47"/>
      <c r="H329" s="47"/>
      <c r="I329" s="47"/>
      <c r="J329" s="47"/>
      <c r="K329" s="47"/>
      <c r="L329" s="47"/>
      <c r="M329" s="47"/>
      <c r="N329" s="47"/>
      <c r="O329" s="47"/>
      <c r="P329" s="47"/>
      <c r="Q329" s="47"/>
      <c r="R329" s="47"/>
      <c r="S329" s="47"/>
      <c r="T329" s="47"/>
      <c r="U329" s="47"/>
      <c r="V329" s="47"/>
      <c r="W329" s="47"/>
      <c r="X329" s="47"/>
      <c r="Y329" s="47"/>
      <c r="Z329" s="47"/>
    </row>
    <row r="330" spans="1:26" ht="15.75" customHeight="1">
      <c r="A330" s="47"/>
      <c r="B330" s="47"/>
      <c r="C330" s="47"/>
      <c r="D330" s="47"/>
      <c r="E330" s="47"/>
      <c r="F330" s="47"/>
      <c r="G330" s="47"/>
      <c r="H330" s="47"/>
      <c r="I330" s="47"/>
      <c r="J330" s="47"/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</row>
    <row r="331" spans="1:26" ht="15.75" customHeight="1">
      <c r="A331" s="47"/>
      <c r="B331" s="47"/>
      <c r="C331" s="47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</row>
    <row r="332" spans="1:26" ht="15.75" customHeight="1">
      <c r="A332" s="47"/>
      <c r="B332" s="47"/>
      <c r="C332" s="47"/>
      <c r="D332" s="47"/>
      <c r="E332" s="47"/>
      <c r="F332" s="47"/>
      <c r="G332" s="47"/>
      <c r="H332" s="47"/>
      <c r="I332" s="47"/>
      <c r="J332" s="47"/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</row>
    <row r="333" spans="1:26" ht="15.75" customHeight="1">
      <c r="A333" s="47"/>
      <c r="B333" s="47"/>
      <c r="C333" s="47"/>
      <c r="D333" s="47"/>
      <c r="E333" s="47"/>
      <c r="F333" s="47"/>
      <c r="G333" s="47"/>
      <c r="H333" s="47"/>
      <c r="I333" s="47"/>
      <c r="J333" s="47"/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</row>
    <row r="334" spans="1:26" ht="15.75" customHeight="1">
      <c r="A334" s="47"/>
      <c r="B334" s="47"/>
      <c r="C334" s="47"/>
      <c r="D334" s="47"/>
      <c r="E334" s="47"/>
      <c r="F334" s="47"/>
      <c r="G334" s="47"/>
      <c r="H334" s="47"/>
      <c r="I334" s="47"/>
      <c r="J334" s="47"/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</row>
    <row r="335" spans="1:26" ht="15.75" customHeight="1">
      <c r="A335" s="47"/>
      <c r="B335" s="47"/>
      <c r="C335" s="47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</row>
    <row r="336" spans="1:26" ht="15.75" customHeight="1">
      <c r="A336" s="47"/>
      <c r="B336" s="47"/>
      <c r="C336" s="47"/>
      <c r="D336" s="47"/>
      <c r="E336" s="47"/>
      <c r="F336" s="47"/>
      <c r="G336" s="47"/>
      <c r="H336" s="47"/>
      <c r="I336" s="47"/>
      <c r="J336" s="47"/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</row>
    <row r="337" spans="1:26" ht="15.75" customHeight="1">
      <c r="A337" s="47"/>
      <c r="B337" s="47"/>
      <c r="C337" s="47"/>
      <c r="D337" s="47"/>
      <c r="E337" s="47"/>
      <c r="F337" s="47"/>
      <c r="G337" s="47"/>
      <c r="H337" s="47"/>
      <c r="I337" s="47"/>
      <c r="J337" s="47"/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</row>
    <row r="338" spans="1:26" ht="15.75" customHeight="1">
      <c r="A338" s="47"/>
      <c r="B338" s="47"/>
      <c r="C338" s="47"/>
      <c r="D338" s="47"/>
      <c r="E338" s="47"/>
      <c r="F338" s="47"/>
      <c r="G338" s="47"/>
      <c r="H338" s="47"/>
      <c r="I338" s="47"/>
      <c r="J338" s="47"/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</row>
    <row r="339" spans="1:26" ht="15.75" customHeight="1">
      <c r="A339" s="47"/>
      <c r="B339" s="47"/>
      <c r="C339" s="47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</row>
    <row r="340" spans="1:26" ht="15.75" customHeight="1">
      <c r="A340" s="47"/>
      <c r="B340" s="47"/>
      <c r="C340" s="47"/>
      <c r="D340" s="47"/>
      <c r="E340" s="47"/>
      <c r="F340" s="47"/>
      <c r="G340" s="47"/>
      <c r="H340" s="47"/>
      <c r="I340" s="47"/>
      <c r="J340" s="47"/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</row>
    <row r="341" spans="1:26" ht="15.75" customHeight="1">
      <c r="A341" s="47"/>
      <c r="B341" s="47"/>
      <c r="C341" s="47"/>
      <c r="D341" s="47"/>
      <c r="E341" s="47"/>
      <c r="F341" s="47"/>
      <c r="G341" s="47"/>
      <c r="H341" s="47"/>
      <c r="I341" s="47"/>
      <c r="J341" s="47"/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</row>
    <row r="342" spans="1:26" ht="15.75" customHeight="1">
      <c r="A342" s="47"/>
      <c r="B342" s="47"/>
      <c r="C342" s="47"/>
      <c r="D342" s="47"/>
      <c r="E342" s="47"/>
      <c r="F342" s="47"/>
      <c r="G342" s="47"/>
      <c r="H342" s="47"/>
      <c r="I342" s="47"/>
      <c r="J342" s="47"/>
      <c r="K342" s="47"/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</row>
    <row r="343" spans="1:26" ht="15.75" customHeight="1">
      <c r="A343" s="47"/>
      <c r="B343" s="47"/>
      <c r="C343" s="47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</row>
    <row r="344" spans="1:26" ht="15.75" customHeight="1">
      <c r="A344" s="47"/>
      <c r="B344" s="47"/>
      <c r="C344" s="47"/>
      <c r="D344" s="47"/>
      <c r="E344" s="47"/>
      <c r="F344" s="47"/>
      <c r="G344" s="47"/>
      <c r="H344" s="47"/>
      <c r="I344" s="47"/>
      <c r="J344" s="47"/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</row>
    <row r="345" spans="1:26" ht="15.75" customHeight="1">
      <c r="A345" s="47"/>
      <c r="B345" s="47"/>
      <c r="C345" s="47"/>
      <c r="D345" s="47"/>
      <c r="E345" s="47"/>
      <c r="F345" s="47"/>
      <c r="G345" s="47"/>
      <c r="H345" s="47"/>
      <c r="I345" s="47"/>
      <c r="J345" s="47"/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</row>
    <row r="346" spans="1:26" ht="15.75" customHeight="1">
      <c r="A346" s="47"/>
      <c r="B346" s="47"/>
      <c r="C346" s="47"/>
      <c r="D346" s="47"/>
      <c r="E346" s="47"/>
      <c r="F346" s="47"/>
      <c r="G346" s="47"/>
      <c r="H346" s="47"/>
      <c r="I346" s="47"/>
      <c r="J346" s="47"/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</row>
    <row r="347" spans="1:26" ht="15.75" customHeight="1">
      <c r="A347" s="47"/>
      <c r="B347" s="47"/>
      <c r="C347" s="47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</row>
    <row r="348" spans="1:26" ht="15.75" customHeight="1">
      <c r="A348" s="47"/>
      <c r="B348" s="47"/>
      <c r="C348" s="47"/>
      <c r="D348" s="47"/>
      <c r="E348" s="47"/>
      <c r="F348" s="47"/>
      <c r="G348" s="47"/>
      <c r="H348" s="47"/>
      <c r="I348" s="47"/>
      <c r="J348" s="47"/>
      <c r="K348" s="47"/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</row>
    <row r="349" spans="1:26" ht="15.75" customHeight="1">
      <c r="A349" s="47"/>
      <c r="B349" s="47"/>
      <c r="C349" s="47"/>
      <c r="D349" s="47"/>
      <c r="E349" s="47"/>
      <c r="F349" s="47"/>
      <c r="G349" s="47"/>
      <c r="H349" s="47"/>
      <c r="I349" s="47"/>
      <c r="J349" s="47"/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</row>
    <row r="350" spans="1:26" ht="15.75" customHeight="1">
      <c r="A350" s="47"/>
      <c r="B350" s="47"/>
      <c r="C350" s="47"/>
      <c r="D350" s="47"/>
      <c r="E350" s="47"/>
      <c r="F350" s="47"/>
      <c r="G350" s="47"/>
      <c r="H350" s="47"/>
      <c r="I350" s="47"/>
      <c r="J350" s="47"/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</row>
    <row r="351" spans="1:26" ht="15.75" customHeight="1">
      <c r="A351" s="47"/>
      <c r="B351" s="47"/>
      <c r="C351" s="47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  <c r="Z351" s="47"/>
    </row>
    <row r="352" spans="1:26" ht="15.75" customHeight="1">
      <c r="A352" s="47"/>
      <c r="B352" s="47"/>
      <c r="C352" s="47"/>
      <c r="D352" s="47"/>
      <c r="E352" s="47"/>
      <c r="F352" s="47"/>
      <c r="G352" s="47"/>
      <c r="H352" s="47"/>
      <c r="I352" s="47"/>
      <c r="J352" s="47"/>
      <c r="K352" s="47"/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</row>
    <row r="353" spans="1:26" ht="15.75" customHeight="1">
      <c r="A353" s="47"/>
      <c r="B353" s="47"/>
      <c r="C353" s="47"/>
      <c r="D353" s="47"/>
      <c r="E353" s="47"/>
      <c r="F353" s="47"/>
      <c r="G353" s="47"/>
      <c r="H353" s="47"/>
      <c r="I353" s="47"/>
      <c r="J353" s="47"/>
      <c r="K353" s="47"/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</row>
    <row r="354" spans="1:26" ht="15.75" customHeight="1">
      <c r="A354" s="47"/>
      <c r="B354" s="47"/>
      <c r="C354" s="47"/>
      <c r="D354" s="47"/>
      <c r="E354" s="47"/>
      <c r="F354" s="47"/>
      <c r="G354" s="47"/>
      <c r="H354" s="47"/>
      <c r="I354" s="47"/>
      <c r="J354" s="47"/>
      <c r="K354" s="47"/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</row>
    <row r="355" spans="1:26" ht="15.75" customHeight="1">
      <c r="A355" s="47"/>
      <c r="B355" s="47"/>
      <c r="C355" s="47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</row>
    <row r="356" spans="1:26" ht="15.75" customHeight="1">
      <c r="A356" s="47"/>
      <c r="B356" s="47"/>
      <c r="C356" s="47"/>
      <c r="D356" s="47"/>
      <c r="E356" s="47"/>
      <c r="F356" s="47"/>
      <c r="G356" s="47"/>
      <c r="H356" s="47"/>
      <c r="I356" s="47"/>
      <c r="J356" s="47"/>
      <c r="K356" s="47"/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</row>
    <row r="357" spans="1:26" ht="15.75" customHeight="1">
      <c r="A357" s="47"/>
      <c r="B357" s="47"/>
      <c r="C357" s="47"/>
      <c r="D357" s="47"/>
      <c r="E357" s="47"/>
      <c r="F357" s="47"/>
      <c r="G357" s="47"/>
      <c r="H357" s="47"/>
      <c r="I357" s="47"/>
      <c r="J357" s="47"/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</row>
    <row r="358" spans="1:26" ht="15.75" customHeight="1">
      <c r="A358" s="47"/>
      <c r="B358" s="47"/>
      <c r="C358" s="47"/>
      <c r="D358" s="47"/>
      <c r="E358" s="47"/>
      <c r="F358" s="47"/>
      <c r="G358" s="47"/>
      <c r="H358" s="47"/>
      <c r="I358" s="47"/>
      <c r="J358" s="47"/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</row>
    <row r="359" spans="1:26" ht="15.75" customHeight="1">
      <c r="A359" s="47"/>
      <c r="B359" s="47"/>
      <c r="C359" s="47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</row>
    <row r="360" spans="1:26" ht="15.75" customHeight="1">
      <c r="A360" s="47"/>
      <c r="B360" s="47"/>
      <c r="C360" s="47"/>
      <c r="D360" s="47"/>
      <c r="E360" s="47"/>
      <c r="F360" s="47"/>
      <c r="G360" s="47"/>
      <c r="H360" s="47"/>
      <c r="I360" s="47"/>
      <c r="J360" s="47"/>
      <c r="K360" s="47"/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</row>
    <row r="361" spans="1:26" ht="15.75" customHeight="1">
      <c r="A361" s="47"/>
      <c r="B361" s="47"/>
      <c r="C361" s="47"/>
      <c r="D361" s="47"/>
      <c r="E361" s="47"/>
      <c r="F361" s="47"/>
      <c r="G361" s="47"/>
      <c r="H361" s="47"/>
      <c r="I361" s="47"/>
      <c r="J361" s="47"/>
      <c r="K361" s="47"/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</row>
    <row r="362" spans="1:26" ht="15.75" customHeight="1">
      <c r="A362" s="47"/>
      <c r="B362" s="47"/>
      <c r="C362" s="47"/>
      <c r="D362" s="47"/>
      <c r="E362" s="47"/>
      <c r="F362" s="47"/>
      <c r="G362" s="47"/>
      <c r="H362" s="47"/>
      <c r="I362" s="47"/>
      <c r="J362" s="47"/>
      <c r="K362" s="47"/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</row>
    <row r="363" spans="1:26" ht="15.75" customHeight="1">
      <c r="A363" s="47"/>
      <c r="B363" s="47"/>
      <c r="C363" s="47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</row>
    <row r="364" spans="1:26" ht="15.75" customHeight="1">
      <c r="A364" s="47"/>
      <c r="B364" s="47"/>
      <c r="C364" s="47"/>
      <c r="D364" s="47"/>
      <c r="E364" s="47"/>
      <c r="F364" s="47"/>
      <c r="G364" s="47"/>
      <c r="H364" s="47"/>
      <c r="I364" s="47"/>
      <c r="J364" s="47"/>
      <c r="K364" s="47"/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</row>
    <row r="365" spans="1:26" ht="15.75" customHeight="1">
      <c r="A365" s="47"/>
      <c r="B365" s="47"/>
      <c r="C365" s="47"/>
      <c r="D365" s="47"/>
      <c r="E365" s="47"/>
      <c r="F365" s="47"/>
      <c r="G365" s="47"/>
      <c r="H365" s="47"/>
      <c r="I365" s="47"/>
      <c r="J365" s="47"/>
      <c r="K365" s="47"/>
      <c r="L365" s="47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47"/>
      <c r="X365" s="47"/>
      <c r="Y365" s="47"/>
      <c r="Z365" s="47"/>
    </row>
    <row r="366" spans="1:26" ht="15.75" customHeight="1">
      <c r="A366" s="47"/>
      <c r="B366" s="47"/>
      <c r="C366" s="47"/>
      <c r="D366" s="47"/>
      <c r="E366" s="47"/>
      <c r="F366" s="47"/>
      <c r="G366" s="47"/>
      <c r="H366" s="47"/>
      <c r="I366" s="47"/>
      <c r="J366" s="47"/>
      <c r="K366" s="47"/>
      <c r="L366" s="47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47"/>
      <c r="X366" s="47"/>
      <c r="Y366" s="47"/>
      <c r="Z366" s="47"/>
    </row>
    <row r="367" spans="1:26" ht="15.75" customHeight="1">
      <c r="A367" s="47"/>
      <c r="B367" s="47"/>
      <c r="C367" s="47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47"/>
      <c r="X367" s="47"/>
      <c r="Y367" s="47"/>
      <c r="Z367" s="47"/>
    </row>
    <row r="368" spans="1:26" ht="15.75" customHeight="1">
      <c r="A368" s="47"/>
      <c r="B368" s="47"/>
      <c r="C368" s="47"/>
      <c r="D368" s="47"/>
      <c r="E368" s="47"/>
      <c r="F368" s="47"/>
      <c r="G368" s="47"/>
      <c r="H368" s="47"/>
      <c r="I368" s="47"/>
      <c r="J368" s="47"/>
      <c r="K368" s="47"/>
      <c r="L368" s="47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47"/>
      <c r="X368" s="47"/>
      <c r="Y368" s="47"/>
      <c r="Z368" s="47"/>
    </row>
    <row r="369" spans="1:26" ht="15.75" customHeight="1">
      <c r="A369" s="47"/>
      <c r="B369" s="47"/>
      <c r="C369" s="47"/>
      <c r="D369" s="47"/>
      <c r="E369" s="47"/>
      <c r="F369" s="47"/>
      <c r="G369" s="47"/>
      <c r="H369" s="47"/>
      <c r="I369" s="47"/>
      <c r="J369" s="47"/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47"/>
      <c r="X369" s="47"/>
      <c r="Y369" s="47"/>
      <c r="Z369" s="47"/>
    </row>
    <row r="370" spans="1:26" ht="15.75" customHeight="1">
      <c r="A370" s="47"/>
      <c r="B370" s="47"/>
      <c r="C370" s="47"/>
      <c r="D370" s="47"/>
      <c r="E370" s="47"/>
      <c r="F370" s="47"/>
      <c r="G370" s="47"/>
      <c r="H370" s="47"/>
      <c r="I370" s="47"/>
      <c r="J370" s="47"/>
      <c r="K370" s="47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47"/>
      <c r="X370" s="47"/>
      <c r="Y370" s="47"/>
      <c r="Z370" s="47"/>
    </row>
    <row r="371" spans="1:26" ht="15.75" customHeight="1">
      <c r="A371" s="47"/>
      <c r="B371" s="47"/>
      <c r="C371" s="47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47"/>
      <c r="X371" s="47"/>
      <c r="Y371" s="47"/>
      <c r="Z371" s="47"/>
    </row>
    <row r="372" spans="1:26" ht="15.75" customHeight="1">
      <c r="A372" s="47"/>
      <c r="B372" s="47"/>
      <c r="C372" s="47"/>
      <c r="D372" s="47"/>
      <c r="E372" s="47"/>
      <c r="F372" s="47"/>
      <c r="G372" s="47"/>
      <c r="H372" s="47"/>
      <c r="I372" s="47"/>
      <c r="J372" s="47"/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</row>
    <row r="373" spans="1:26" ht="15.75" customHeight="1">
      <c r="A373" s="47"/>
      <c r="B373" s="47"/>
      <c r="C373" s="47"/>
      <c r="D373" s="47"/>
      <c r="E373" s="47"/>
      <c r="F373" s="47"/>
      <c r="G373" s="47"/>
      <c r="H373" s="47"/>
      <c r="I373" s="47"/>
      <c r="J373" s="47"/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</row>
    <row r="374" spans="1:26" ht="15.75" customHeight="1">
      <c r="A374" s="47"/>
      <c r="B374" s="47"/>
      <c r="C374" s="47"/>
      <c r="D374" s="47"/>
      <c r="E374" s="47"/>
      <c r="F374" s="47"/>
      <c r="G374" s="47"/>
      <c r="H374" s="47"/>
      <c r="I374" s="47"/>
      <c r="J374" s="47"/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</row>
    <row r="375" spans="1:26" ht="15.75" customHeight="1">
      <c r="A375" s="47"/>
      <c r="B375" s="47"/>
      <c r="C375" s="47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</row>
    <row r="376" spans="1:26" ht="15.75" customHeight="1">
      <c r="A376" s="47"/>
      <c r="B376" s="47"/>
      <c r="C376" s="47"/>
      <c r="D376" s="47"/>
      <c r="E376" s="47"/>
      <c r="F376" s="47"/>
      <c r="G376" s="47"/>
      <c r="H376" s="47"/>
      <c r="I376" s="47"/>
      <c r="J376" s="47"/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47"/>
      <c r="X376" s="47"/>
      <c r="Y376" s="47"/>
      <c r="Z376" s="47"/>
    </row>
    <row r="377" spans="1:26" ht="15.75" customHeight="1">
      <c r="A377" s="47"/>
      <c r="B377" s="47"/>
      <c r="C377" s="47"/>
      <c r="D377" s="47"/>
      <c r="E377" s="47"/>
      <c r="F377" s="47"/>
      <c r="G377" s="47"/>
      <c r="H377" s="47"/>
      <c r="I377" s="47"/>
      <c r="J377" s="47"/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47"/>
      <c r="X377" s="47"/>
      <c r="Y377" s="47"/>
      <c r="Z377" s="47"/>
    </row>
    <row r="378" spans="1:26" ht="15.75" customHeight="1">
      <c r="A378" s="47"/>
      <c r="B378" s="47"/>
      <c r="C378" s="47"/>
      <c r="D378" s="47"/>
      <c r="E378" s="47"/>
      <c r="F378" s="47"/>
      <c r="G378" s="47"/>
      <c r="H378" s="47"/>
      <c r="I378" s="47"/>
      <c r="J378" s="47"/>
      <c r="K378" s="47"/>
      <c r="L378" s="47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47"/>
      <c r="X378" s="47"/>
      <c r="Y378" s="47"/>
      <c r="Z378" s="47"/>
    </row>
    <row r="379" spans="1:26" ht="15.75" customHeight="1">
      <c r="A379" s="47"/>
      <c r="B379" s="47"/>
      <c r="C379" s="47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47"/>
      <c r="X379" s="47"/>
      <c r="Y379" s="47"/>
      <c r="Z379" s="47"/>
    </row>
    <row r="380" spans="1:26" ht="15.75" customHeight="1">
      <c r="A380" s="47"/>
      <c r="B380" s="47"/>
      <c r="C380" s="47"/>
      <c r="D380" s="47"/>
      <c r="E380" s="47"/>
      <c r="F380" s="47"/>
      <c r="G380" s="47"/>
      <c r="H380" s="47"/>
      <c r="I380" s="47"/>
      <c r="J380" s="47"/>
      <c r="K380" s="47"/>
      <c r="L380" s="47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47"/>
      <c r="X380" s="47"/>
      <c r="Y380" s="47"/>
      <c r="Z380" s="47"/>
    </row>
    <row r="381" spans="1:26" ht="15.75" customHeight="1">
      <c r="A381" s="47"/>
      <c r="B381" s="47"/>
      <c r="C381" s="47"/>
      <c r="D381" s="47"/>
      <c r="E381" s="47"/>
      <c r="F381" s="47"/>
      <c r="G381" s="47"/>
      <c r="H381" s="47"/>
      <c r="I381" s="47"/>
      <c r="J381" s="47"/>
      <c r="K381" s="47"/>
      <c r="L381" s="47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47"/>
      <c r="X381" s="47"/>
      <c r="Y381" s="47"/>
      <c r="Z381" s="47"/>
    </row>
    <row r="382" spans="1:26" ht="15.75" customHeight="1">
      <c r="A382" s="47"/>
      <c r="B382" s="47"/>
      <c r="C382" s="47"/>
      <c r="D382" s="47"/>
      <c r="E382" s="47"/>
      <c r="F382" s="47"/>
      <c r="G382" s="47"/>
      <c r="H382" s="47"/>
      <c r="I382" s="47"/>
      <c r="J382" s="47"/>
      <c r="K382" s="47"/>
      <c r="L382" s="47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47"/>
      <c r="X382" s="47"/>
      <c r="Y382" s="47"/>
      <c r="Z382" s="47"/>
    </row>
    <row r="383" spans="1:26" ht="15.75" customHeight="1">
      <c r="A383" s="47"/>
      <c r="B383" s="47"/>
      <c r="C383" s="47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47"/>
      <c r="X383" s="47"/>
      <c r="Y383" s="47"/>
      <c r="Z383" s="47"/>
    </row>
    <row r="384" spans="1:26" ht="15.75" customHeight="1">
      <c r="A384" s="47"/>
      <c r="B384" s="47"/>
      <c r="C384" s="47"/>
      <c r="D384" s="47"/>
      <c r="E384" s="47"/>
      <c r="F384" s="47"/>
      <c r="G384" s="47"/>
      <c r="H384" s="47"/>
      <c r="I384" s="47"/>
      <c r="J384" s="47"/>
      <c r="K384" s="47"/>
      <c r="L384" s="47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47"/>
      <c r="X384" s="47"/>
      <c r="Y384" s="47"/>
      <c r="Z384" s="47"/>
    </row>
    <row r="385" spans="1:26" ht="15.75" customHeight="1">
      <c r="A385" s="47"/>
      <c r="B385" s="47"/>
      <c r="C385" s="47"/>
      <c r="D385" s="47"/>
      <c r="E385" s="47"/>
      <c r="F385" s="47"/>
      <c r="G385" s="47"/>
      <c r="H385" s="47"/>
      <c r="I385" s="47"/>
      <c r="J385" s="47"/>
      <c r="K385" s="47"/>
      <c r="L385" s="47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47"/>
      <c r="X385" s="47"/>
      <c r="Y385" s="47"/>
      <c r="Z385" s="47"/>
    </row>
    <row r="386" spans="1:26" ht="15.75" customHeight="1">
      <c r="A386" s="47"/>
      <c r="B386" s="47"/>
      <c r="C386" s="47"/>
      <c r="D386" s="47"/>
      <c r="E386" s="47"/>
      <c r="F386" s="47"/>
      <c r="G386" s="47"/>
      <c r="H386" s="47"/>
      <c r="I386" s="47"/>
      <c r="J386" s="47"/>
      <c r="K386" s="47"/>
      <c r="L386" s="47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47"/>
      <c r="X386" s="47"/>
      <c r="Y386" s="47"/>
      <c r="Z386" s="47"/>
    </row>
    <row r="387" spans="1:26" ht="15.75" customHeight="1">
      <c r="A387" s="47"/>
      <c r="B387" s="47"/>
      <c r="C387" s="47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47"/>
      <c r="X387" s="47"/>
      <c r="Y387" s="47"/>
      <c r="Z387" s="47"/>
    </row>
    <row r="388" spans="1:26" ht="15.75" customHeight="1">
      <c r="A388" s="47"/>
      <c r="B388" s="47"/>
      <c r="C388" s="47"/>
      <c r="D388" s="47"/>
      <c r="E388" s="47"/>
      <c r="F388" s="47"/>
      <c r="G388" s="47"/>
      <c r="H388" s="47"/>
      <c r="I388" s="47"/>
      <c r="J388" s="47"/>
      <c r="K388" s="47"/>
      <c r="L388" s="47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47"/>
      <c r="X388" s="47"/>
      <c r="Y388" s="47"/>
      <c r="Z388" s="47"/>
    </row>
    <row r="389" spans="1:26" ht="15.75" customHeight="1">
      <c r="A389" s="47"/>
      <c r="B389" s="47"/>
      <c r="C389" s="47"/>
      <c r="D389" s="47"/>
      <c r="E389" s="47"/>
      <c r="F389" s="47"/>
      <c r="G389" s="47"/>
      <c r="H389" s="47"/>
      <c r="I389" s="47"/>
      <c r="J389" s="47"/>
      <c r="K389" s="47"/>
      <c r="L389" s="47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47"/>
      <c r="X389" s="47"/>
      <c r="Y389" s="47"/>
      <c r="Z389" s="47"/>
    </row>
    <row r="390" spans="1:26" ht="15.75" customHeight="1">
      <c r="A390" s="47"/>
      <c r="B390" s="47"/>
      <c r="C390" s="47"/>
      <c r="D390" s="47"/>
      <c r="E390" s="47"/>
      <c r="F390" s="47"/>
      <c r="G390" s="47"/>
      <c r="H390" s="47"/>
      <c r="I390" s="47"/>
      <c r="J390" s="47"/>
      <c r="K390" s="47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47"/>
      <c r="X390" s="47"/>
      <c r="Y390" s="47"/>
      <c r="Z390" s="47"/>
    </row>
    <row r="391" spans="1:26" ht="15.75" customHeight="1">
      <c r="A391" s="47"/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47"/>
      <c r="X391" s="47"/>
      <c r="Y391" s="47"/>
      <c r="Z391" s="47"/>
    </row>
    <row r="392" spans="1:26" ht="15.75" customHeight="1">
      <c r="A392" s="47"/>
      <c r="B392" s="47"/>
      <c r="C392" s="47"/>
      <c r="D392" s="47"/>
      <c r="E392" s="47"/>
      <c r="F392" s="47"/>
      <c r="G392" s="47"/>
      <c r="H392" s="47"/>
      <c r="I392" s="47"/>
      <c r="J392" s="47"/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47"/>
      <c r="X392" s="47"/>
      <c r="Y392" s="47"/>
      <c r="Z392" s="47"/>
    </row>
    <row r="393" spans="1:26" ht="15.75" customHeight="1">
      <c r="A393" s="47"/>
      <c r="B393" s="47"/>
      <c r="C393" s="47"/>
      <c r="D393" s="47"/>
      <c r="E393" s="47"/>
      <c r="F393" s="47"/>
      <c r="G393" s="47"/>
      <c r="H393" s="47"/>
      <c r="I393" s="47"/>
      <c r="J393" s="47"/>
      <c r="K393" s="47"/>
      <c r="L393" s="47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47"/>
      <c r="X393" s="47"/>
      <c r="Y393" s="47"/>
      <c r="Z393" s="47"/>
    </row>
    <row r="394" spans="1:26" ht="15.75" customHeight="1">
      <c r="A394" s="47"/>
      <c r="B394" s="47"/>
      <c r="C394" s="47"/>
      <c r="D394" s="47"/>
      <c r="E394" s="47"/>
      <c r="F394" s="47"/>
      <c r="G394" s="47"/>
      <c r="H394" s="47"/>
      <c r="I394" s="47"/>
      <c r="J394" s="47"/>
      <c r="K394" s="47"/>
      <c r="L394" s="47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47"/>
      <c r="X394" s="47"/>
      <c r="Y394" s="47"/>
      <c r="Z394" s="47"/>
    </row>
    <row r="395" spans="1:26" ht="15.75" customHeight="1">
      <c r="A395" s="47"/>
      <c r="B395" s="47"/>
      <c r="C395" s="47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47"/>
      <c r="X395" s="47"/>
      <c r="Y395" s="47"/>
      <c r="Z395" s="47"/>
    </row>
    <row r="396" spans="1:26" ht="15.75" customHeight="1">
      <c r="A396" s="47"/>
      <c r="B396" s="47"/>
      <c r="C396" s="47"/>
      <c r="D396" s="47"/>
      <c r="E396" s="47"/>
      <c r="F396" s="47"/>
      <c r="G396" s="47"/>
      <c r="H396" s="47"/>
      <c r="I396" s="47"/>
      <c r="J396" s="47"/>
      <c r="K396" s="47"/>
      <c r="L396" s="47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47"/>
      <c r="X396" s="47"/>
      <c r="Y396" s="47"/>
      <c r="Z396" s="47"/>
    </row>
    <row r="397" spans="1:26" ht="15.75" customHeight="1">
      <c r="A397" s="47"/>
      <c r="B397" s="47"/>
      <c r="C397" s="47"/>
      <c r="D397" s="47"/>
      <c r="E397" s="47"/>
      <c r="F397" s="47"/>
      <c r="G397" s="47"/>
      <c r="H397" s="47"/>
      <c r="I397" s="47"/>
      <c r="J397" s="47"/>
      <c r="K397" s="47"/>
      <c r="L397" s="47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47"/>
      <c r="X397" s="47"/>
      <c r="Y397" s="47"/>
      <c r="Z397" s="47"/>
    </row>
    <row r="398" spans="1:26" ht="15.75" customHeight="1">
      <c r="A398" s="47"/>
      <c r="B398" s="47"/>
      <c r="C398" s="47"/>
      <c r="D398" s="47"/>
      <c r="E398" s="47"/>
      <c r="F398" s="47"/>
      <c r="G398" s="47"/>
      <c r="H398" s="47"/>
      <c r="I398" s="47"/>
      <c r="J398" s="47"/>
      <c r="K398" s="47"/>
      <c r="L398" s="47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47"/>
      <c r="X398" s="47"/>
      <c r="Y398" s="47"/>
      <c r="Z398" s="47"/>
    </row>
    <row r="399" spans="1:26" ht="15.75" customHeight="1">
      <c r="A399" s="47"/>
      <c r="B399" s="47"/>
      <c r="C399" s="47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47"/>
      <c r="X399" s="47"/>
      <c r="Y399" s="47"/>
      <c r="Z399" s="47"/>
    </row>
    <row r="400" spans="1:26" ht="15.75" customHeight="1">
      <c r="A400" s="47"/>
      <c r="B400" s="47"/>
      <c r="C400" s="47"/>
      <c r="D400" s="47"/>
      <c r="E400" s="47"/>
      <c r="F400" s="47"/>
      <c r="G400" s="47"/>
      <c r="H400" s="47"/>
      <c r="I400" s="47"/>
      <c r="J400" s="47"/>
      <c r="K400" s="47"/>
      <c r="L400" s="47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47"/>
      <c r="X400" s="47"/>
      <c r="Y400" s="47"/>
      <c r="Z400" s="47"/>
    </row>
    <row r="401" spans="1:26" ht="15.75" customHeight="1">
      <c r="A401" s="47"/>
      <c r="B401" s="47"/>
      <c r="C401" s="47"/>
      <c r="D401" s="47"/>
      <c r="E401" s="47"/>
      <c r="F401" s="47"/>
      <c r="G401" s="47"/>
      <c r="H401" s="47"/>
      <c r="I401" s="47"/>
      <c r="J401" s="47"/>
      <c r="K401" s="47"/>
      <c r="L401" s="47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47"/>
      <c r="X401" s="47"/>
      <c r="Y401" s="47"/>
      <c r="Z401" s="47"/>
    </row>
    <row r="402" spans="1:26" ht="15.75" customHeight="1">
      <c r="A402" s="47"/>
      <c r="B402" s="47"/>
      <c r="C402" s="47"/>
      <c r="D402" s="47"/>
      <c r="E402" s="47"/>
      <c r="F402" s="47"/>
      <c r="G402" s="47"/>
      <c r="H402" s="47"/>
      <c r="I402" s="47"/>
      <c r="J402" s="47"/>
      <c r="K402" s="47"/>
      <c r="L402" s="47"/>
      <c r="M402" s="47"/>
      <c r="N402" s="47"/>
      <c r="O402" s="47"/>
      <c r="P402" s="47"/>
      <c r="Q402" s="47"/>
      <c r="R402" s="47"/>
      <c r="S402" s="47"/>
      <c r="T402" s="47"/>
      <c r="U402" s="47"/>
      <c r="V402" s="47"/>
      <c r="W402" s="47"/>
      <c r="X402" s="47"/>
      <c r="Y402" s="47"/>
      <c r="Z402" s="47"/>
    </row>
    <row r="403" spans="1:26" ht="15.75" customHeight="1">
      <c r="A403" s="47"/>
      <c r="B403" s="47"/>
      <c r="C403" s="47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  <c r="S403" s="47"/>
      <c r="T403" s="47"/>
      <c r="U403" s="47"/>
      <c r="V403" s="47"/>
      <c r="W403" s="47"/>
      <c r="X403" s="47"/>
      <c r="Y403" s="47"/>
      <c r="Z403" s="47"/>
    </row>
    <row r="404" spans="1:26" ht="15.75" customHeight="1">
      <c r="A404" s="47"/>
      <c r="B404" s="47"/>
      <c r="C404" s="47"/>
      <c r="D404" s="47"/>
      <c r="E404" s="47"/>
      <c r="F404" s="47"/>
      <c r="G404" s="47"/>
      <c r="H404" s="47"/>
      <c r="I404" s="47"/>
      <c r="J404" s="47"/>
      <c r="K404" s="47"/>
      <c r="L404" s="47"/>
      <c r="M404" s="47"/>
      <c r="N404" s="47"/>
      <c r="O404" s="47"/>
      <c r="P404" s="47"/>
      <c r="Q404" s="47"/>
      <c r="R404" s="47"/>
      <c r="S404" s="47"/>
      <c r="T404" s="47"/>
      <c r="U404" s="47"/>
      <c r="V404" s="47"/>
      <c r="W404" s="47"/>
      <c r="X404" s="47"/>
      <c r="Y404" s="47"/>
      <c r="Z404" s="47"/>
    </row>
    <row r="405" spans="1:26" ht="15.75" customHeight="1">
      <c r="A405" s="47"/>
      <c r="B405" s="47"/>
      <c r="C405" s="47"/>
      <c r="D405" s="47"/>
      <c r="E405" s="47"/>
      <c r="F405" s="47"/>
      <c r="G405" s="47"/>
      <c r="H405" s="47"/>
      <c r="I405" s="47"/>
      <c r="J405" s="47"/>
      <c r="K405" s="47"/>
      <c r="L405" s="47"/>
      <c r="M405" s="47"/>
      <c r="N405" s="47"/>
      <c r="O405" s="47"/>
      <c r="P405" s="47"/>
      <c r="Q405" s="47"/>
      <c r="R405" s="47"/>
      <c r="S405" s="47"/>
      <c r="T405" s="47"/>
      <c r="U405" s="47"/>
      <c r="V405" s="47"/>
      <c r="W405" s="47"/>
      <c r="X405" s="47"/>
      <c r="Y405" s="47"/>
      <c r="Z405" s="47"/>
    </row>
    <row r="406" spans="1:26" ht="15.75" customHeight="1">
      <c r="A406" s="47"/>
      <c r="B406" s="47"/>
      <c r="C406" s="47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  <c r="S406" s="47"/>
      <c r="T406" s="47"/>
      <c r="U406" s="47"/>
      <c r="V406" s="47"/>
      <c r="W406" s="47"/>
      <c r="X406" s="47"/>
      <c r="Y406" s="47"/>
      <c r="Z406" s="47"/>
    </row>
    <row r="407" spans="1:26" ht="15.75" customHeight="1">
      <c r="A407" s="47"/>
      <c r="B407" s="47"/>
      <c r="C407" s="47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  <c r="S407" s="47"/>
      <c r="T407" s="47"/>
      <c r="U407" s="47"/>
      <c r="V407" s="47"/>
      <c r="W407" s="47"/>
      <c r="X407" s="47"/>
      <c r="Y407" s="47"/>
      <c r="Z407" s="47"/>
    </row>
    <row r="408" spans="1:26" ht="15.75" customHeight="1">
      <c r="A408" s="47"/>
      <c r="B408" s="47"/>
      <c r="C408" s="47"/>
      <c r="D408" s="47"/>
      <c r="E408" s="47"/>
      <c r="F408" s="47"/>
      <c r="G408" s="47"/>
      <c r="H408" s="47"/>
      <c r="I408" s="47"/>
      <c r="J408" s="47"/>
      <c r="K408" s="47"/>
      <c r="L408" s="47"/>
      <c r="M408" s="47"/>
      <c r="N408" s="47"/>
      <c r="O408" s="47"/>
      <c r="P408" s="47"/>
      <c r="Q408" s="47"/>
      <c r="R408" s="47"/>
      <c r="S408" s="47"/>
      <c r="T408" s="47"/>
      <c r="U408" s="47"/>
      <c r="V408" s="47"/>
      <c r="W408" s="47"/>
      <c r="X408" s="47"/>
      <c r="Y408" s="47"/>
      <c r="Z408" s="47"/>
    </row>
    <row r="409" spans="1:26" ht="15.75" customHeight="1">
      <c r="A409" s="47"/>
      <c r="B409" s="47"/>
      <c r="C409" s="47"/>
      <c r="D409" s="47"/>
      <c r="E409" s="47"/>
      <c r="F409" s="47"/>
      <c r="G409" s="47"/>
      <c r="H409" s="47"/>
      <c r="I409" s="47"/>
      <c r="J409" s="47"/>
      <c r="K409" s="47"/>
      <c r="L409" s="47"/>
      <c r="M409" s="47"/>
      <c r="N409" s="47"/>
      <c r="O409" s="47"/>
      <c r="P409" s="47"/>
      <c r="Q409" s="47"/>
      <c r="R409" s="47"/>
      <c r="S409" s="47"/>
      <c r="T409" s="47"/>
      <c r="U409" s="47"/>
      <c r="V409" s="47"/>
      <c r="W409" s="47"/>
      <c r="X409" s="47"/>
      <c r="Y409" s="47"/>
      <c r="Z409" s="47"/>
    </row>
    <row r="410" spans="1:26" ht="15.75" customHeight="1">
      <c r="A410" s="47"/>
      <c r="B410" s="47"/>
      <c r="C410" s="47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47"/>
      <c r="X410" s="47"/>
      <c r="Y410" s="47"/>
      <c r="Z410" s="47"/>
    </row>
    <row r="411" spans="1:26" ht="15.75" customHeight="1">
      <c r="A411" s="47"/>
      <c r="B411" s="47"/>
      <c r="C411" s="47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47"/>
      <c r="X411" s="47"/>
      <c r="Y411" s="47"/>
      <c r="Z411" s="47"/>
    </row>
    <row r="412" spans="1:26" ht="15.75" customHeight="1">
      <c r="A412" s="47"/>
      <c r="B412" s="47"/>
      <c r="C412" s="47"/>
      <c r="D412" s="47"/>
      <c r="E412" s="47"/>
      <c r="F412" s="47"/>
      <c r="G412" s="47"/>
      <c r="H412" s="47"/>
      <c r="I412" s="47"/>
      <c r="J412" s="47"/>
      <c r="K412" s="47"/>
      <c r="L412" s="47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47"/>
      <c r="X412" s="47"/>
      <c r="Y412" s="47"/>
      <c r="Z412" s="47"/>
    </row>
    <row r="413" spans="1:26" ht="15.75" customHeight="1">
      <c r="A413" s="47"/>
      <c r="B413" s="47"/>
      <c r="C413" s="47"/>
      <c r="D413" s="47"/>
      <c r="E413" s="47"/>
      <c r="F413" s="47"/>
      <c r="G413" s="47"/>
      <c r="H413" s="47"/>
      <c r="I413" s="47"/>
      <c r="J413" s="47"/>
      <c r="K413" s="47"/>
      <c r="L413" s="47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47"/>
      <c r="X413" s="47"/>
      <c r="Y413" s="47"/>
      <c r="Z413" s="47"/>
    </row>
    <row r="414" spans="1:26" ht="15.75" customHeight="1">
      <c r="A414" s="47"/>
      <c r="B414" s="47"/>
      <c r="C414" s="47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47"/>
      <c r="X414" s="47"/>
      <c r="Y414" s="47"/>
      <c r="Z414" s="47"/>
    </row>
    <row r="415" spans="1:26" ht="15.75" customHeight="1">
      <c r="A415" s="47"/>
      <c r="B415" s="47"/>
      <c r="C415" s="47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47"/>
      <c r="X415" s="47"/>
      <c r="Y415" s="47"/>
      <c r="Z415" s="47"/>
    </row>
    <row r="416" spans="1:26" ht="15.75" customHeight="1">
      <c r="A416" s="47"/>
      <c r="B416" s="47"/>
      <c r="C416" s="47"/>
      <c r="D416" s="47"/>
      <c r="E416" s="47"/>
      <c r="F416" s="47"/>
      <c r="G416" s="47"/>
      <c r="H416" s="47"/>
      <c r="I416" s="47"/>
      <c r="J416" s="47"/>
      <c r="K416" s="47"/>
      <c r="L416" s="47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47"/>
      <c r="X416" s="47"/>
      <c r="Y416" s="47"/>
      <c r="Z416" s="47"/>
    </row>
    <row r="417" spans="1:26" ht="15.75" customHeight="1">
      <c r="A417" s="47"/>
      <c r="B417" s="47"/>
      <c r="C417" s="47"/>
      <c r="D417" s="47"/>
      <c r="E417" s="47"/>
      <c r="F417" s="47"/>
      <c r="G417" s="47"/>
      <c r="H417" s="47"/>
      <c r="I417" s="47"/>
      <c r="J417" s="47"/>
      <c r="K417" s="47"/>
      <c r="L417" s="47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47"/>
      <c r="X417" s="47"/>
      <c r="Y417" s="47"/>
      <c r="Z417" s="47"/>
    </row>
    <row r="418" spans="1:26" ht="15.75" customHeight="1">
      <c r="A418" s="47"/>
      <c r="B418" s="47"/>
      <c r="C418" s="47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47"/>
      <c r="X418" s="47"/>
      <c r="Y418" s="47"/>
      <c r="Z418" s="47"/>
    </row>
    <row r="419" spans="1:26" ht="15.75" customHeight="1">
      <c r="A419" s="47"/>
      <c r="B419" s="47"/>
      <c r="C419" s="47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47"/>
      <c r="X419" s="47"/>
      <c r="Y419" s="47"/>
      <c r="Z419" s="47"/>
    </row>
    <row r="420" spans="1:26" ht="15.75" customHeight="1">
      <c r="A420" s="47"/>
      <c r="B420" s="47"/>
      <c r="C420" s="47"/>
      <c r="D420" s="47"/>
      <c r="E420" s="47"/>
      <c r="F420" s="47"/>
      <c r="G420" s="47"/>
      <c r="H420" s="47"/>
      <c r="I420" s="47"/>
      <c r="J420" s="47"/>
      <c r="K420" s="47"/>
      <c r="L420" s="47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47"/>
      <c r="X420" s="47"/>
      <c r="Y420" s="47"/>
      <c r="Z420" s="47"/>
    </row>
    <row r="421" spans="1:26" ht="15.75" customHeight="1">
      <c r="A421" s="47"/>
      <c r="B421" s="47"/>
      <c r="C421" s="47"/>
      <c r="D421" s="47"/>
      <c r="E421" s="47"/>
      <c r="F421" s="47"/>
      <c r="G421" s="47"/>
      <c r="H421" s="47"/>
      <c r="I421" s="47"/>
      <c r="J421" s="47"/>
      <c r="K421" s="47"/>
      <c r="L421" s="47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47"/>
      <c r="X421" s="47"/>
      <c r="Y421" s="47"/>
      <c r="Z421" s="47"/>
    </row>
    <row r="422" spans="1:26" ht="15.75" customHeight="1">
      <c r="A422" s="47"/>
      <c r="B422" s="47"/>
      <c r="C422" s="47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47"/>
      <c r="X422" s="47"/>
      <c r="Y422" s="47"/>
      <c r="Z422" s="47"/>
    </row>
    <row r="423" spans="1:26" ht="15.75" customHeight="1">
      <c r="A423" s="47"/>
      <c r="B423" s="47"/>
      <c r="C423" s="47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47"/>
      <c r="X423" s="47"/>
      <c r="Y423" s="47"/>
      <c r="Z423" s="47"/>
    </row>
    <row r="424" spans="1:26" ht="15.75" customHeight="1">
      <c r="A424" s="47"/>
      <c r="B424" s="47"/>
      <c r="C424" s="47"/>
      <c r="D424" s="47"/>
      <c r="E424" s="47"/>
      <c r="F424" s="47"/>
      <c r="G424" s="47"/>
      <c r="H424" s="47"/>
      <c r="I424" s="47"/>
      <c r="J424" s="47"/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47"/>
      <c r="X424" s="47"/>
      <c r="Y424" s="47"/>
      <c r="Z424" s="47"/>
    </row>
    <row r="425" spans="1:26" ht="15.75" customHeight="1">
      <c r="A425" s="47"/>
      <c r="B425" s="47"/>
      <c r="C425" s="47"/>
      <c r="D425" s="47"/>
      <c r="E425" s="47"/>
      <c r="F425" s="47"/>
      <c r="G425" s="47"/>
      <c r="H425" s="47"/>
      <c r="I425" s="47"/>
      <c r="J425" s="47"/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47"/>
      <c r="X425" s="47"/>
      <c r="Y425" s="47"/>
      <c r="Z425" s="47"/>
    </row>
    <row r="426" spans="1:26" ht="15.75" customHeight="1">
      <c r="A426" s="47"/>
      <c r="B426" s="47"/>
      <c r="C426" s="47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47"/>
      <c r="X426" s="47"/>
      <c r="Y426" s="47"/>
      <c r="Z426" s="47"/>
    </row>
    <row r="427" spans="1:26" ht="15.75" customHeight="1">
      <c r="A427" s="47"/>
      <c r="B427" s="47"/>
      <c r="C427" s="47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47"/>
      <c r="X427" s="47"/>
      <c r="Y427" s="47"/>
      <c r="Z427" s="47"/>
    </row>
    <row r="428" spans="1:26" ht="15.75" customHeight="1">
      <c r="A428" s="47"/>
      <c r="B428" s="47"/>
      <c r="C428" s="47"/>
      <c r="D428" s="47"/>
      <c r="E428" s="47"/>
      <c r="F428" s="47"/>
      <c r="G428" s="47"/>
      <c r="H428" s="47"/>
      <c r="I428" s="47"/>
      <c r="J428" s="47"/>
      <c r="K428" s="47"/>
      <c r="L428" s="47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47"/>
      <c r="X428" s="47"/>
      <c r="Y428" s="47"/>
      <c r="Z428" s="47"/>
    </row>
    <row r="429" spans="1:26" ht="15.75" customHeight="1">
      <c r="A429" s="47"/>
      <c r="B429" s="47"/>
      <c r="C429" s="47"/>
      <c r="D429" s="47"/>
      <c r="E429" s="47"/>
      <c r="F429" s="47"/>
      <c r="G429" s="47"/>
      <c r="H429" s="47"/>
      <c r="I429" s="47"/>
      <c r="J429" s="47"/>
      <c r="K429" s="47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47"/>
      <c r="X429" s="47"/>
      <c r="Y429" s="47"/>
      <c r="Z429" s="47"/>
    </row>
    <row r="430" spans="1:26" ht="15.75" customHeight="1">
      <c r="A430" s="47"/>
      <c r="B430" s="47"/>
      <c r="C430" s="47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47"/>
      <c r="X430" s="47"/>
      <c r="Y430" s="47"/>
      <c r="Z430" s="47"/>
    </row>
    <row r="431" spans="1:26" ht="15.75" customHeight="1">
      <c r="A431" s="47"/>
      <c r="B431" s="47"/>
      <c r="C431" s="47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47"/>
      <c r="X431" s="47"/>
      <c r="Y431" s="47"/>
      <c r="Z431" s="47"/>
    </row>
    <row r="432" spans="1:26" ht="15.75" customHeight="1">
      <c r="A432" s="47"/>
      <c r="B432" s="47"/>
      <c r="C432" s="47"/>
      <c r="D432" s="47"/>
      <c r="E432" s="47"/>
      <c r="F432" s="47"/>
      <c r="G432" s="47"/>
      <c r="H432" s="47"/>
      <c r="I432" s="47"/>
      <c r="J432" s="47"/>
      <c r="K432" s="47"/>
      <c r="L432" s="47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47"/>
      <c r="X432" s="47"/>
      <c r="Y432" s="47"/>
      <c r="Z432" s="47"/>
    </row>
    <row r="433" spans="1:26" ht="15.75" customHeight="1">
      <c r="A433" s="47"/>
      <c r="B433" s="47"/>
      <c r="C433" s="47"/>
      <c r="D433" s="47"/>
      <c r="E433" s="47"/>
      <c r="F433" s="47"/>
      <c r="G433" s="47"/>
      <c r="H433" s="47"/>
      <c r="I433" s="47"/>
      <c r="J433" s="47"/>
      <c r="K433" s="47"/>
      <c r="L433" s="47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47"/>
      <c r="X433" s="47"/>
      <c r="Y433" s="47"/>
      <c r="Z433" s="47"/>
    </row>
    <row r="434" spans="1:26" ht="15.75" customHeight="1">
      <c r="A434" s="47"/>
      <c r="B434" s="47"/>
      <c r="C434" s="47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47"/>
      <c r="X434" s="47"/>
      <c r="Y434" s="47"/>
      <c r="Z434" s="47"/>
    </row>
    <row r="435" spans="1:26" ht="15.75" customHeight="1">
      <c r="A435" s="47"/>
      <c r="B435" s="47"/>
      <c r="C435" s="47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47"/>
      <c r="X435" s="47"/>
      <c r="Y435" s="47"/>
      <c r="Z435" s="47"/>
    </row>
    <row r="436" spans="1:26" ht="15.75" customHeight="1">
      <c r="A436" s="47"/>
      <c r="B436" s="47"/>
      <c r="C436" s="47"/>
      <c r="D436" s="47"/>
      <c r="E436" s="47"/>
      <c r="F436" s="47"/>
      <c r="G436" s="47"/>
      <c r="H436" s="47"/>
      <c r="I436" s="47"/>
      <c r="J436" s="47"/>
      <c r="K436" s="47"/>
      <c r="L436" s="47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47"/>
      <c r="X436" s="47"/>
      <c r="Y436" s="47"/>
      <c r="Z436" s="47"/>
    </row>
    <row r="437" spans="1:26" ht="15.75" customHeight="1">
      <c r="A437" s="47"/>
      <c r="B437" s="47"/>
      <c r="C437" s="47"/>
      <c r="D437" s="47"/>
      <c r="E437" s="47"/>
      <c r="F437" s="47"/>
      <c r="G437" s="47"/>
      <c r="H437" s="47"/>
      <c r="I437" s="47"/>
      <c r="J437" s="47"/>
      <c r="K437" s="47"/>
      <c r="L437" s="47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47"/>
      <c r="X437" s="47"/>
      <c r="Y437" s="47"/>
      <c r="Z437" s="47"/>
    </row>
    <row r="438" spans="1:26" ht="15.75" customHeight="1">
      <c r="A438" s="47"/>
      <c r="B438" s="47"/>
      <c r="C438" s="47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47"/>
      <c r="X438" s="47"/>
      <c r="Y438" s="47"/>
      <c r="Z438" s="47"/>
    </row>
    <row r="439" spans="1:26" ht="15.75" customHeight="1">
      <c r="A439" s="47"/>
      <c r="B439" s="47"/>
      <c r="C439" s="47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47"/>
      <c r="X439" s="47"/>
      <c r="Y439" s="47"/>
      <c r="Z439" s="47"/>
    </row>
    <row r="440" spans="1:26" ht="15.75" customHeight="1">
      <c r="A440" s="47"/>
      <c r="B440" s="47"/>
      <c r="C440" s="47"/>
      <c r="D440" s="47"/>
      <c r="E440" s="47"/>
      <c r="F440" s="47"/>
      <c r="G440" s="47"/>
      <c r="H440" s="47"/>
      <c r="I440" s="47"/>
      <c r="J440" s="47"/>
      <c r="K440" s="47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47"/>
      <c r="X440" s="47"/>
      <c r="Y440" s="47"/>
      <c r="Z440" s="47"/>
    </row>
    <row r="441" spans="1:26" ht="15.75" customHeight="1">
      <c r="A441" s="47"/>
      <c r="B441" s="47"/>
      <c r="C441" s="47"/>
      <c r="D441" s="47"/>
      <c r="E441" s="47"/>
      <c r="F441" s="47"/>
      <c r="G441" s="47"/>
      <c r="H441" s="47"/>
      <c r="I441" s="47"/>
      <c r="J441" s="47"/>
      <c r="K441" s="47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47"/>
      <c r="X441" s="47"/>
      <c r="Y441" s="47"/>
      <c r="Z441" s="47"/>
    </row>
    <row r="442" spans="1:26" ht="15.75" customHeight="1">
      <c r="A442" s="47"/>
      <c r="B442" s="47"/>
      <c r="C442" s="47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47"/>
      <c r="X442" s="47"/>
      <c r="Y442" s="47"/>
      <c r="Z442" s="47"/>
    </row>
    <row r="443" spans="1:26" ht="15.75" customHeight="1">
      <c r="A443" s="47"/>
      <c r="B443" s="47"/>
      <c r="C443" s="47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47"/>
      <c r="X443" s="47"/>
      <c r="Y443" s="47"/>
      <c r="Z443" s="47"/>
    </row>
    <row r="444" spans="1:26" ht="15.75" customHeight="1">
      <c r="A444" s="47"/>
      <c r="B444" s="47"/>
      <c r="C444" s="47"/>
      <c r="D444" s="47"/>
      <c r="E444" s="47"/>
      <c r="F444" s="47"/>
      <c r="G444" s="47"/>
      <c r="H444" s="47"/>
      <c r="I444" s="47"/>
      <c r="J444" s="47"/>
      <c r="K444" s="47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47"/>
      <c r="X444" s="47"/>
      <c r="Y444" s="47"/>
      <c r="Z444" s="47"/>
    </row>
    <row r="445" spans="1:26" ht="15.75" customHeight="1">
      <c r="A445" s="47"/>
      <c r="B445" s="47"/>
      <c r="C445" s="47"/>
      <c r="D445" s="47"/>
      <c r="E445" s="47"/>
      <c r="F445" s="47"/>
      <c r="G445" s="47"/>
      <c r="H445" s="47"/>
      <c r="I445" s="47"/>
      <c r="J445" s="47"/>
      <c r="K445" s="47"/>
      <c r="L445" s="47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47"/>
      <c r="X445" s="47"/>
      <c r="Y445" s="47"/>
      <c r="Z445" s="47"/>
    </row>
    <row r="446" spans="1:26" ht="15.75" customHeight="1">
      <c r="A446" s="47"/>
      <c r="B446" s="47"/>
      <c r="C446" s="47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47"/>
      <c r="X446" s="47"/>
      <c r="Y446" s="47"/>
      <c r="Z446" s="47"/>
    </row>
    <row r="447" spans="1:26" ht="15.75" customHeight="1">
      <c r="A447" s="47"/>
      <c r="B447" s="47"/>
      <c r="C447" s="47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47"/>
      <c r="X447" s="47"/>
      <c r="Y447" s="47"/>
      <c r="Z447" s="47"/>
    </row>
    <row r="448" spans="1:26" ht="15.75" customHeight="1">
      <c r="A448" s="47"/>
      <c r="B448" s="47"/>
      <c r="C448" s="47"/>
      <c r="D448" s="47"/>
      <c r="E448" s="47"/>
      <c r="F448" s="47"/>
      <c r="G448" s="47"/>
      <c r="H448" s="47"/>
      <c r="I448" s="47"/>
      <c r="J448" s="47"/>
      <c r="K448" s="47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47"/>
      <c r="X448" s="47"/>
      <c r="Y448" s="47"/>
      <c r="Z448" s="47"/>
    </row>
    <row r="449" spans="1:26" ht="15.75" customHeight="1">
      <c r="A449" s="47"/>
      <c r="B449" s="47"/>
      <c r="C449" s="47"/>
      <c r="D449" s="47"/>
      <c r="E449" s="47"/>
      <c r="F449" s="47"/>
      <c r="G449" s="47"/>
      <c r="H449" s="47"/>
      <c r="I449" s="47"/>
      <c r="J449" s="47"/>
      <c r="K449" s="47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47"/>
      <c r="X449" s="47"/>
      <c r="Y449" s="47"/>
      <c r="Z449" s="47"/>
    </row>
    <row r="450" spans="1:26" ht="15.75" customHeight="1">
      <c r="A450" s="47"/>
      <c r="B450" s="47"/>
      <c r="C450" s="47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47"/>
      <c r="X450" s="47"/>
      <c r="Y450" s="47"/>
      <c r="Z450" s="47"/>
    </row>
    <row r="451" spans="1:26" ht="15.75" customHeight="1">
      <c r="A451" s="47"/>
      <c r="B451" s="47"/>
      <c r="C451" s="47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47"/>
      <c r="X451" s="47"/>
      <c r="Y451" s="47"/>
      <c r="Z451" s="47"/>
    </row>
    <row r="452" spans="1:26" ht="15.75" customHeight="1">
      <c r="A452" s="47"/>
      <c r="B452" s="47"/>
      <c r="C452" s="47"/>
      <c r="D452" s="47"/>
      <c r="E452" s="47"/>
      <c r="F452" s="47"/>
      <c r="G452" s="47"/>
      <c r="H452" s="47"/>
      <c r="I452" s="47"/>
      <c r="J452" s="47"/>
      <c r="K452" s="47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47"/>
      <c r="X452" s="47"/>
      <c r="Y452" s="47"/>
      <c r="Z452" s="47"/>
    </row>
    <row r="453" spans="1:26" ht="15.75" customHeight="1">
      <c r="A453" s="47"/>
      <c r="B453" s="47"/>
      <c r="C453" s="47"/>
      <c r="D453" s="47"/>
      <c r="E453" s="47"/>
      <c r="F453" s="47"/>
      <c r="G453" s="47"/>
      <c r="H453" s="47"/>
      <c r="I453" s="47"/>
      <c r="J453" s="47"/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47"/>
      <c r="X453" s="47"/>
      <c r="Y453" s="47"/>
      <c r="Z453" s="47"/>
    </row>
    <row r="454" spans="1:26" ht="15.75" customHeight="1">
      <c r="A454" s="47"/>
      <c r="B454" s="47"/>
      <c r="C454" s="47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47"/>
      <c r="X454" s="47"/>
      <c r="Y454" s="47"/>
      <c r="Z454" s="47"/>
    </row>
    <row r="455" spans="1:26" ht="15.75" customHeight="1">
      <c r="A455" s="47"/>
      <c r="B455" s="47"/>
      <c r="C455" s="47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47"/>
      <c r="X455" s="47"/>
      <c r="Y455" s="47"/>
      <c r="Z455" s="47"/>
    </row>
    <row r="456" spans="1:26" ht="15.75" customHeight="1">
      <c r="A456" s="47"/>
      <c r="B456" s="47"/>
      <c r="C456" s="47"/>
      <c r="D456" s="47"/>
      <c r="E456" s="47"/>
      <c r="F456" s="47"/>
      <c r="G456" s="47"/>
      <c r="H456" s="47"/>
      <c r="I456" s="47"/>
      <c r="J456" s="47"/>
      <c r="K456" s="47"/>
      <c r="L456" s="47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47"/>
      <c r="X456" s="47"/>
      <c r="Y456" s="47"/>
      <c r="Z456" s="47"/>
    </row>
    <row r="457" spans="1:26" ht="15.75" customHeight="1">
      <c r="A457" s="47"/>
      <c r="B457" s="47"/>
      <c r="C457" s="47"/>
      <c r="D457" s="47"/>
      <c r="E457" s="47"/>
      <c r="F457" s="47"/>
      <c r="G457" s="47"/>
      <c r="H457" s="47"/>
      <c r="I457" s="47"/>
      <c r="J457" s="47"/>
      <c r="K457" s="47"/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47"/>
      <c r="X457" s="47"/>
      <c r="Y457" s="47"/>
      <c r="Z457" s="47"/>
    </row>
    <row r="458" spans="1:26" ht="15.75" customHeight="1">
      <c r="A458" s="47"/>
      <c r="B458" s="47"/>
      <c r="C458" s="47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47"/>
      <c r="X458" s="47"/>
      <c r="Y458" s="47"/>
      <c r="Z458" s="47"/>
    </row>
    <row r="459" spans="1:26" ht="15.75" customHeight="1">
      <c r="A459" s="47"/>
      <c r="B459" s="47"/>
      <c r="C459" s="47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47"/>
      <c r="X459" s="47"/>
      <c r="Y459" s="47"/>
      <c r="Z459" s="47"/>
    </row>
    <row r="460" spans="1:26" ht="15.75" customHeight="1">
      <c r="A460" s="47"/>
      <c r="B460" s="47"/>
      <c r="C460" s="47"/>
      <c r="D460" s="47"/>
      <c r="E460" s="47"/>
      <c r="F460" s="47"/>
      <c r="G460" s="47"/>
      <c r="H460" s="47"/>
      <c r="I460" s="47"/>
      <c r="J460" s="47"/>
      <c r="K460" s="47"/>
      <c r="L460" s="47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47"/>
      <c r="X460" s="47"/>
      <c r="Y460" s="47"/>
      <c r="Z460" s="47"/>
    </row>
    <row r="461" spans="1:26" ht="15.75" customHeight="1">
      <c r="A461" s="47"/>
      <c r="B461" s="47"/>
      <c r="C461" s="47"/>
      <c r="D461" s="47"/>
      <c r="E461" s="47"/>
      <c r="F461" s="47"/>
      <c r="G461" s="47"/>
      <c r="H461" s="47"/>
      <c r="I461" s="47"/>
      <c r="J461" s="47"/>
      <c r="K461" s="47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47"/>
      <c r="X461" s="47"/>
      <c r="Y461" s="47"/>
      <c r="Z461" s="47"/>
    </row>
    <row r="462" spans="1:26" ht="15.75" customHeight="1">
      <c r="A462" s="47"/>
      <c r="B462" s="47"/>
      <c r="C462" s="47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47"/>
      <c r="X462" s="47"/>
      <c r="Y462" s="47"/>
      <c r="Z462" s="47"/>
    </row>
    <row r="463" spans="1:26" ht="15.75" customHeight="1">
      <c r="A463" s="47"/>
      <c r="B463" s="47"/>
      <c r="C463" s="47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47"/>
      <c r="X463" s="47"/>
      <c r="Y463" s="47"/>
      <c r="Z463" s="47"/>
    </row>
    <row r="464" spans="1:26" ht="15.75" customHeight="1">
      <c r="A464" s="47"/>
      <c r="B464" s="47"/>
      <c r="C464" s="47"/>
      <c r="D464" s="47"/>
      <c r="E464" s="47"/>
      <c r="F464" s="47"/>
      <c r="G464" s="47"/>
      <c r="H464" s="47"/>
      <c r="I464" s="47"/>
      <c r="J464" s="47"/>
      <c r="K464" s="47"/>
      <c r="L464" s="47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47"/>
      <c r="X464" s="47"/>
      <c r="Y464" s="47"/>
      <c r="Z464" s="47"/>
    </row>
    <row r="465" spans="1:26" ht="15.75" customHeight="1">
      <c r="A465" s="47"/>
      <c r="B465" s="47"/>
      <c r="C465" s="47"/>
      <c r="D465" s="47"/>
      <c r="E465" s="47"/>
      <c r="F465" s="47"/>
      <c r="G465" s="47"/>
      <c r="H465" s="47"/>
      <c r="I465" s="47"/>
      <c r="J465" s="47"/>
      <c r="K465" s="47"/>
      <c r="L465" s="47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47"/>
      <c r="X465" s="47"/>
      <c r="Y465" s="47"/>
      <c r="Z465" s="47"/>
    </row>
    <row r="466" spans="1:26" ht="15.75" customHeight="1">
      <c r="A466" s="47"/>
      <c r="B466" s="47"/>
      <c r="C466" s="47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47"/>
      <c r="X466" s="47"/>
      <c r="Y466" s="47"/>
      <c r="Z466" s="47"/>
    </row>
    <row r="467" spans="1:26" ht="15.75" customHeight="1">
      <c r="A467" s="47"/>
      <c r="B467" s="47"/>
      <c r="C467" s="47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47"/>
      <c r="X467" s="47"/>
      <c r="Y467" s="47"/>
      <c r="Z467" s="47"/>
    </row>
    <row r="468" spans="1:26" ht="15.75" customHeight="1">
      <c r="A468" s="47"/>
      <c r="B468" s="47"/>
      <c r="C468" s="47"/>
      <c r="D468" s="47"/>
      <c r="E468" s="47"/>
      <c r="F468" s="47"/>
      <c r="G468" s="47"/>
      <c r="H468" s="47"/>
      <c r="I468" s="47"/>
      <c r="J468" s="47"/>
      <c r="K468" s="47"/>
      <c r="L468" s="47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47"/>
      <c r="X468" s="47"/>
      <c r="Y468" s="47"/>
      <c r="Z468" s="47"/>
    </row>
    <row r="469" spans="1:26" ht="15.75" customHeight="1">
      <c r="A469" s="47"/>
      <c r="B469" s="47"/>
      <c r="C469" s="47"/>
      <c r="D469" s="47"/>
      <c r="E469" s="47"/>
      <c r="F469" s="47"/>
      <c r="G469" s="47"/>
      <c r="H469" s="47"/>
      <c r="I469" s="47"/>
      <c r="J469" s="47"/>
      <c r="K469" s="47"/>
      <c r="L469" s="47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47"/>
      <c r="X469" s="47"/>
      <c r="Y469" s="47"/>
      <c r="Z469" s="47"/>
    </row>
    <row r="470" spans="1:26" ht="15.75" customHeight="1">
      <c r="A470" s="47"/>
      <c r="B470" s="47"/>
      <c r="C470" s="47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47"/>
      <c r="X470" s="47"/>
      <c r="Y470" s="47"/>
      <c r="Z470" s="47"/>
    </row>
    <row r="471" spans="1:26" ht="15.75" customHeight="1">
      <c r="A471" s="47"/>
      <c r="B471" s="47"/>
      <c r="C471" s="47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47"/>
      <c r="X471" s="47"/>
      <c r="Y471" s="47"/>
      <c r="Z471" s="47"/>
    </row>
    <row r="472" spans="1:26" ht="15.75" customHeight="1">
      <c r="A472" s="47"/>
      <c r="B472" s="47"/>
      <c r="C472" s="47"/>
      <c r="D472" s="47"/>
      <c r="E472" s="47"/>
      <c r="F472" s="47"/>
      <c r="G472" s="47"/>
      <c r="H472" s="47"/>
      <c r="I472" s="47"/>
      <c r="J472" s="47"/>
      <c r="K472" s="47"/>
      <c r="L472" s="47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47"/>
      <c r="X472" s="47"/>
      <c r="Y472" s="47"/>
      <c r="Z472" s="47"/>
    </row>
    <row r="473" spans="1:26" ht="15.75" customHeight="1">
      <c r="A473" s="47"/>
      <c r="B473" s="47"/>
      <c r="C473" s="47"/>
      <c r="D473" s="47"/>
      <c r="E473" s="47"/>
      <c r="F473" s="47"/>
      <c r="G473" s="47"/>
      <c r="H473" s="47"/>
      <c r="I473" s="47"/>
      <c r="J473" s="47"/>
      <c r="K473" s="4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47"/>
      <c r="X473" s="47"/>
      <c r="Y473" s="47"/>
      <c r="Z473" s="47"/>
    </row>
    <row r="474" spans="1:26" ht="15.75" customHeight="1">
      <c r="A474" s="47"/>
      <c r="B474" s="47"/>
      <c r="C474" s="47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47"/>
      <c r="X474" s="47"/>
      <c r="Y474" s="47"/>
      <c r="Z474" s="47"/>
    </row>
    <row r="475" spans="1:26" ht="15.75" customHeight="1">
      <c r="A475" s="47"/>
      <c r="B475" s="47"/>
      <c r="C475" s="47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47"/>
      <c r="X475" s="47"/>
      <c r="Y475" s="47"/>
      <c r="Z475" s="47"/>
    </row>
    <row r="476" spans="1:26" ht="15.75" customHeight="1">
      <c r="A476" s="47"/>
      <c r="B476" s="47"/>
      <c r="C476" s="47"/>
      <c r="D476" s="47"/>
      <c r="E476" s="47"/>
      <c r="F476" s="47"/>
      <c r="G476" s="47"/>
      <c r="H476" s="47"/>
      <c r="I476" s="47"/>
      <c r="J476" s="47"/>
      <c r="K476" s="47"/>
      <c r="L476" s="47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47"/>
      <c r="X476" s="47"/>
      <c r="Y476" s="47"/>
      <c r="Z476" s="47"/>
    </row>
    <row r="477" spans="1:26" ht="15.75" customHeight="1">
      <c r="A477" s="47"/>
      <c r="B477" s="47"/>
      <c r="C477" s="47"/>
      <c r="D477" s="47"/>
      <c r="E477" s="47"/>
      <c r="F477" s="47"/>
      <c r="G477" s="47"/>
      <c r="H477" s="47"/>
      <c r="I477" s="47"/>
      <c r="J477" s="47"/>
      <c r="K477" s="47"/>
      <c r="L477" s="47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47"/>
      <c r="X477" s="47"/>
      <c r="Y477" s="47"/>
      <c r="Z477" s="47"/>
    </row>
    <row r="478" spans="1:26" ht="15.75" customHeight="1">
      <c r="A478" s="47"/>
      <c r="B478" s="47"/>
      <c r="C478" s="47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47"/>
      <c r="X478" s="47"/>
      <c r="Y478" s="47"/>
      <c r="Z478" s="47"/>
    </row>
    <row r="479" spans="1:26" ht="15.75" customHeight="1">
      <c r="A479" s="47"/>
      <c r="B479" s="47"/>
      <c r="C479" s="47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47"/>
      <c r="X479" s="47"/>
      <c r="Y479" s="47"/>
      <c r="Z479" s="47"/>
    </row>
    <row r="480" spans="1:26" ht="15.75" customHeight="1">
      <c r="A480" s="47"/>
      <c r="B480" s="47"/>
      <c r="C480" s="47"/>
      <c r="D480" s="47"/>
      <c r="E480" s="47"/>
      <c r="F480" s="47"/>
      <c r="G480" s="47"/>
      <c r="H480" s="47"/>
      <c r="I480" s="47"/>
      <c r="J480" s="47"/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47"/>
      <c r="X480" s="47"/>
      <c r="Y480" s="47"/>
      <c r="Z480" s="47"/>
    </row>
    <row r="481" spans="1:26" ht="15.75" customHeight="1">
      <c r="A481" s="47"/>
      <c r="B481" s="47"/>
      <c r="C481" s="47"/>
      <c r="D481" s="47"/>
      <c r="E481" s="47"/>
      <c r="F481" s="47"/>
      <c r="G481" s="47"/>
      <c r="H481" s="47"/>
      <c r="I481" s="47"/>
      <c r="J481" s="47"/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47"/>
      <c r="X481" s="47"/>
      <c r="Y481" s="47"/>
      <c r="Z481" s="47"/>
    </row>
    <row r="482" spans="1:26" ht="15.75" customHeight="1">
      <c r="A482" s="47"/>
      <c r="B482" s="47"/>
      <c r="C482" s="47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47"/>
      <c r="X482" s="47"/>
      <c r="Y482" s="47"/>
      <c r="Z482" s="47"/>
    </row>
    <row r="483" spans="1:26" ht="15.75" customHeight="1">
      <c r="A483" s="47"/>
      <c r="B483" s="47"/>
      <c r="C483" s="47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47"/>
      <c r="X483" s="47"/>
      <c r="Y483" s="47"/>
      <c r="Z483" s="47"/>
    </row>
    <row r="484" spans="1:26" ht="15.75" customHeight="1">
      <c r="A484" s="47"/>
      <c r="B484" s="47"/>
      <c r="C484" s="47"/>
      <c r="D484" s="47"/>
      <c r="E484" s="47"/>
      <c r="F484" s="47"/>
      <c r="G484" s="47"/>
      <c r="H484" s="47"/>
      <c r="I484" s="47"/>
      <c r="J484" s="47"/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47"/>
      <c r="X484" s="47"/>
      <c r="Y484" s="47"/>
      <c r="Z484" s="47"/>
    </row>
    <row r="485" spans="1:26" ht="15.75" customHeight="1">
      <c r="A485" s="47"/>
      <c r="B485" s="47"/>
      <c r="C485" s="47"/>
      <c r="D485" s="47"/>
      <c r="E485" s="47"/>
      <c r="F485" s="47"/>
      <c r="G485" s="47"/>
      <c r="H485" s="47"/>
      <c r="I485" s="47"/>
      <c r="J485" s="47"/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47"/>
      <c r="X485" s="47"/>
      <c r="Y485" s="47"/>
      <c r="Z485" s="47"/>
    </row>
    <row r="486" spans="1:26" ht="15.75" customHeight="1">
      <c r="A486" s="47"/>
      <c r="B486" s="47"/>
      <c r="C486" s="47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47"/>
      <c r="X486" s="47"/>
      <c r="Y486" s="47"/>
      <c r="Z486" s="47"/>
    </row>
    <row r="487" spans="1:26" ht="15.75" customHeight="1">
      <c r="A487" s="47"/>
      <c r="B487" s="47"/>
      <c r="C487" s="47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47"/>
      <c r="X487" s="47"/>
      <c r="Y487" s="47"/>
      <c r="Z487" s="47"/>
    </row>
    <row r="488" spans="1:26" ht="15.75" customHeight="1">
      <c r="A488" s="47"/>
      <c r="B488" s="47"/>
      <c r="C488" s="47"/>
      <c r="D488" s="47"/>
      <c r="E488" s="47"/>
      <c r="F488" s="47"/>
      <c r="G488" s="47"/>
      <c r="H488" s="47"/>
      <c r="I488" s="47"/>
      <c r="J488" s="47"/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47"/>
      <c r="X488" s="47"/>
      <c r="Y488" s="47"/>
      <c r="Z488" s="47"/>
    </row>
    <row r="489" spans="1:26" ht="15.75" customHeight="1">
      <c r="A489" s="47"/>
      <c r="B489" s="47"/>
      <c r="C489" s="47"/>
      <c r="D489" s="47"/>
      <c r="E489" s="47"/>
      <c r="F489" s="47"/>
      <c r="G489" s="47"/>
      <c r="H489" s="47"/>
      <c r="I489" s="47"/>
      <c r="J489" s="47"/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47"/>
      <c r="X489" s="47"/>
      <c r="Y489" s="47"/>
      <c r="Z489" s="47"/>
    </row>
    <row r="490" spans="1:26" ht="15.75" customHeight="1">
      <c r="A490" s="47"/>
      <c r="B490" s="47"/>
      <c r="C490" s="47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47"/>
      <c r="X490" s="47"/>
      <c r="Y490" s="47"/>
      <c r="Z490" s="47"/>
    </row>
    <row r="491" spans="1:26" ht="15.75" customHeight="1">
      <c r="A491" s="47"/>
      <c r="B491" s="47"/>
      <c r="C491" s="47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47"/>
      <c r="X491" s="47"/>
      <c r="Y491" s="47"/>
      <c r="Z491" s="47"/>
    </row>
    <row r="492" spans="1:26" ht="15.75" customHeight="1">
      <c r="A492" s="47"/>
      <c r="B492" s="47"/>
      <c r="C492" s="47"/>
      <c r="D492" s="47"/>
      <c r="E492" s="47"/>
      <c r="F492" s="47"/>
      <c r="G492" s="47"/>
      <c r="H492" s="47"/>
      <c r="I492" s="47"/>
      <c r="J492" s="47"/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47"/>
      <c r="X492" s="47"/>
      <c r="Y492" s="47"/>
      <c r="Z492" s="47"/>
    </row>
    <row r="493" spans="1:26" ht="15.75" customHeight="1">
      <c r="A493" s="47"/>
      <c r="B493" s="47"/>
      <c r="C493" s="47"/>
      <c r="D493" s="47"/>
      <c r="E493" s="47"/>
      <c r="F493" s="47"/>
      <c r="G493" s="47"/>
      <c r="H493" s="47"/>
      <c r="I493" s="47"/>
      <c r="J493" s="47"/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47"/>
      <c r="X493" s="47"/>
      <c r="Y493" s="47"/>
      <c r="Z493" s="47"/>
    </row>
    <row r="494" spans="1:26" ht="15.75" customHeight="1">
      <c r="A494" s="47"/>
      <c r="B494" s="47"/>
      <c r="C494" s="47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47"/>
      <c r="X494" s="47"/>
      <c r="Y494" s="47"/>
      <c r="Z494" s="47"/>
    </row>
    <row r="495" spans="1:26" ht="15.75" customHeight="1">
      <c r="A495" s="47"/>
      <c r="B495" s="47"/>
      <c r="C495" s="47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47"/>
      <c r="X495" s="47"/>
      <c r="Y495" s="47"/>
      <c r="Z495" s="47"/>
    </row>
    <row r="496" spans="1:26" ht="15.75" customHeight="1">
      <c r="A496" s="47"/>
      <c r="B496" s="47"/>
      <c r="C496" s="47"/>
      <c r="D496" s="47"/>
      <c r="E496" s="47"/>
      <c r="F496" s="47"/>
      <c r="G496" s="47"/>
      <c r="H496" s="47"/>
      <c r="I496" s="47"/>
      <c r="J496" s="47"/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47"/>
      <c r="X496" s="47"/>
      <c r="Y496" s="47"/>
      <c r="Z496" s="47"/>
    </row>
    <row r="497" spans="1:26" ht="15.75" customHeight="1">
      <c r="A497" s="47"/>
      <c r="B497" s="47"/>
      <c r="C497" s="47"/>
      <c r="D497" s="47"/>
      <c r="E497" s="47"/>
      <c r="F497" s="47"/>
      <c r="G497" s="47"/>
      <c r="H497" s="47"/>
      <c r="I497" s="47"/>
      <c r="J497" s="47"/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47"/>
      <c r="X497" s="47"/>
      <c r="Y497" s="47"/>
      <c r="Z497" s="47"/>
    </row>
    <row r="498" spans="1:26" ht="15.75" customHeight="1">
      <c r="A498" s="47"/>
      <c r="B498" s="47"/>
      <c r="C498" s="47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47"/>
      <c r="X498" s="47"/>
      <c r="Y498" s="47"/>
      <c r="Z498" s="47"/>
    </row>
    <row r="499" spans="1:26" ht="15.75" customHeight="1">
      <c r="A499" s="47"/>
      <c r="B499" s="47"/>
      <c r="C499" s="47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47"/>
      <c r="X499" s="47"/>
      <c r="Y499" s="47"/>
      <c r="Z499" s="47"/>
    </row>
    <row r="500" spans="1:26" ht="15.75" customHeight="1">
      <c r="A500" s="47"/>
      <c r="B500" s="47"/>
      <c r="C500" s="47"/>
      <c r="D500" s="47"/>
      <c r="E500" s="47"/>
      <c r="F500" s="47"/>
      <c r="G500" s="47"/>
      <c r="H500" s="47"/>
      <c r="I500" s="47"/>
      <c r="J500" s="47"/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47"/>
      <c r="X500" s="47"/>
      <c r="Y500" s="47"/>
      <c r="Z500" s="47"/>
    </row>
    <row r="501" spans="1:26" ht="15.75" customHeight="1">
      <c r="A501" s="47"/>
      <c r="B501" s="47"/>
      <c r="C501" s="47"/>
      <c r="D501" s="47"/>
      <c r="E501" s="47"/>
      <c r="F501" s="47"/>
      <c r="G501" s="47"/>
      <c r="H501" s="47"/>
      <c r="I501" s="47"/>
      <c r="J501" s="47"/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47"/>
      <c r="X501" s="47"/>
      <c r="Y501" s="47"/>
      <c r="Z501" s="47"/>
    </row>
    <row r="502" spans="1:26" ht="15.75" customHeight="1">
      <c r="A502" s="47"/>
      <c r="B502" s="47"/>
      <c r="C502" s="47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47"/>
      <c r="X502" s="47"/>
      <c r="Y502" s="47"/>
      <c r="Z502" s="47"/>
    </row>
    <row r="503" spans="1:26" ht="15.75" customHeight="1">
      <c r="A503" s="47"/>
      <c r="B503" s="47"/>
      <c r="C503" s="47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47"/>
      <c r="X503" s="47"/>
      <c r="Y503" s="47"/>
      <c r="Z503" s="47"/>
    </row>
    <row r="504" spans="1:26" ht="15.75" customHeight="1">
      <c r="A504" s="47"/>
      <c r="B504" s="47"/>
      <c r="C504" s="47"/>
      <c r="D504" s="47"/>
      <c r="E504" s="47"/>
      <c r="F504" s="47"/>
      <c r="G504" s="47"/>
      <c r="H504" s="47"/>
      <c r="I504" s="47"/>
      <c r="J504" s="47"/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47"/>
      <c r="X504" s="47"/>
      <c r="Y504" s="47"/>
      <c r="Z504" s="47"/>
    </row>
    <row r="505" spans="1:26" ht="15.75" customHeight="1">
      <c r="A505" s="47"/>
      <c r="B505" s="47"/>
      <c r="C505" s="47"/>
      <c r="D505" s="47"/>
      <c r="E505" s="47"/>
      <c r="F505" s="47"/>
      <c r="G505" s="47"/>
      <c r="H505" s="47"/>
      <c r="I505" s="47"/>
      <c r="J505" s="47"/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47"/>
      <c r="X505" s="47"/>
      <c r="Y505" s="47"/>
      <c r="Z505" s="47"/>
    </row>
    <row r="506" spans="1:26" ht="15.75" customHeight="1">
      <c r="A506" s="47"/>
      <c r="B506" s="47"/>
      <c r="C506" s="47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47"/>
      <c r="X506" s="47"/>
      <c r="Y506" s="47"/>
      <c r="Z506" s="47"/>
    </row>
    <row r="507" spans="1:26" ht="15.75" customHeight="1">
      <c r="A507" s="47"/>
      <c r="B507" s="47"/>
      <c r="C507" s="47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47"/>
      <c r="X507" s="47"/>
      <c r="Y507" s="47"/>
      <c r="Z507" s="47"/>
    </row>
    <row r="508" spans="1:26" ht="15.75" customHeight="1">
      <c r="A508" s="47"/>
      <c r="B508" s="47"/>
      <c r="C508" s="47"/>
      <c r="D508" s="47"/>
      <c r="E508" s="47"/>
      <c r="F508" s="47"/>
      <c r="G508" s="47"/>
      <c r="H508" s="47"/>
      <c r="I508" s="47"/>
      <c r="J508" s="47"/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47"/>
      <c r="X508" s="47"/>
      <c r="Y508" s="47"/>
      <c r="Z508" s="47"/>
    </row>
    <row r="509" spans="1:26" ht="15.75" customHeight="1">
      <c r="A509" s="47"/>
      <c r="B509" s="47"/>
      <c r="C509" s="47"/>
      <c r="D509" s="47"/>
      <c r="E509" s="47"/>
      <c r="F509" s="47"/>
      <c r="G509" s="47"/>
      <c r="H509" s="47"/>
      <c r="I509" s="47"/>
      <c r="J509" s="47"/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47"/>
      <c r="X509" s="47"/>
      <c r="Y509" s="47"/>
      <c r="Z509" s="47"/>
    </row>
    <row r="510" spans="1:26" ht="15.75" customHeight="1">
      <c r="A510" s="47"/>
      <c r="B510" s="47"/>
      <c r="C510" s="47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47"/>
      <c r="Y510" s="47"/>
      <c r="Z510" s="47"/>
    </row>
    <row r="511" spans="1:26" ht="15.75" customHeight="1">
      <c r="A511" s="47"/>
      <c r="B511" s="47"/>
      <c r="C511" s="47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47"/>
      <c r="Y511" s="47"/>
      <c r="Z511" s="47"/>
    </row>
    <row r="512" spans="1:26" ht="15.75" customHeight="1">
      <c r="A512" s="47"/>
      <c r="B512" s="47"/>
      <c r="C512" s="47"/>
      <c r="D512" s="47"/>
      <c r="E512" s="47"/>
      <c r="F512" s="47"/>
      <c r="G512" s="47"/>
      <c r="H512" s="47"/>
      <c r="I512" s="47"/>
      <c r="J512" s="47"/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47"/>
      <c r="Y512" s="47"/>
      <c r="Z512" s="47"/>
    </row>
    <row r="513" spans="1:26" ht="15.75" customHeight="1">
      <c r="A513" s="47"/>
      <c r="B513" s="47"/>
      <c r="C513" s="47"/>
      <c r="D513" s="47"/>
      <c r="E513" s="47"/>
      <c r="F513" s="47"/>
      <c r="G513" s="47"/>
      <c r="H513" s="47"/>
      <c r="I513" s="47"/>
      <c r="J513" s="47"/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47"/>
      <c r="Y513" s="47"/>
      <c r="Z513" s="47"/>
    </row>
    <row r="514" spans="1:26" ht="15.75" customHeight="1">
      <c r="A514" s="47"/>
      <c r="B514" s="47"/>
      <c r="C514" s="47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47"/>
      <c r="Y514" s="47"/>
      <c r="Z514" s="47"/>
    </row>
    <row r="515" spans="1:26" ht="15.75" customHeight="1">
      <c r="A515" s="47"/>
      <c r="B515" s="47"/>
      <c r="C515" s="47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47"/>
      <c r="Y515" s="47"/>
      <c r="Z515" s="47"/>
    </row>
    <row r="516" spans="1:26" ht="15.75" customHeight="1">
      <c r="A516" s="47"/>
      <c r="B516" s="47"/>
      <c r="C516" s="47"/>
      <c r="D516" s="47"/>
      <c r="E516" s="47"/>
      <c r="F516" s="47"/>
      <c r="G516" s="47"/>
      <c r="H516" s="47"/>
      <c r="I516" s="47"/>
      <c r="J516" s="47"/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47"/>
      <c r="Y516" s="47"/>
      <c r="Z516" s="47"/>
    </row>
    <row r="517" spans="1:26" ht="15.75" customHeight="1">
      <c r="A517" s="47"/>
      <c r="B517" s="47"/>
      <c r="C517" s="47"/>
      <c r="D517" s="47"/>
      <c r="E517" s="47"/>
      <c r="F517" s="47"/>
      <c r="G517" s="47"/>
      <c r="H517" s="47"/>
      <c r="I517" s="47"/>
      <c r="J517" s="47"/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47"/>
      <c r="Y517" s="47"/>
      <c r="Z517" s="47"/>
    </row>
    <row r="518" spans="1:26" ht="15.75" customHeight="1">
      <c r="A518" s="47"/>
      <c r="B518" s="47"/>
      <c r="C518" s="47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47"/>
      <c r="Y518" s="47"/>
      <c r="Z518" s="47"/>
    </row>
    <row r="519" spans="1:26" ht="15.75" customHeight="1">
      <c r="A519" s="47"/>
      <c r="B519" s="47"/>
      <c r="C519" s="47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47"/>
      <c r="Y519" s="47"/>
      <c r="Z519" s="47"/>
    </row>
    <row r="520" spans="1:26" ht="15.75" customHeight="1">
      <c r="A520" s="47"/>
      <c r="B520" s="47"/>
      <c r="C520" s="47"/>
      <c r="D520" s="47"/>
      <c r="E520" s="47"/>
      <c r="F520" s="47"/>
      <c r="G520" s="47"/>
      <c r="H520" s="47"/>
      <c r="I520" s="47"/>
      <c r="J520" s="47"/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47"/>
      <c r="Y520" s="47"/>
      <c r="Z520" s="47"/>
    </row>
    <row r="521" spans="1:26" ht="15.75" customHeight="1">
      <c r="A521" s="47"/>
      <c r="B521" s="47"/>
      <c r="C521" s="47"/>
      <c r="D521" s="47"/>
      <c r="E521" s="47"/>
      <c r="F521" s="47"/>
      <c r="G521" s="47"/>
      <c r="H521" s="47"/>
      <c r="I521" s="47"/>
      <c r="J521" s="47"/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47"/>
      <c r="Y521" s="47"/>
      <c r="Z521" s="47"/>
    </row>
    <row r="522" spans="1:26" ht="15.75" customHeight="1">
      <c r="A522" s="47"/>
      <c r="B522" s="47"/>
      <c r="C522" s="47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47"/>
      <c r="Y522" s="47"/>
      <c r="Z522" s="47"/>
    </row>
    <row r="523" spans="1:26" ht="15.75" customHeight="1">
      <c r="A523" s="47"/>
      <c r="B523" s="47"/>
      <c r="C523" s="47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47"/>
      <c r="Y523" s="47"/>
      <c r="Z523" s="47"/>
    </row>
    <row r="524" spans="1:26" ht="15.75" customHeight="1">
      <c r="A524" s="47"/>
      <c r="B524" s="47"/>
      <c r="C524" s="47"/>
      <c r="D524" s="47"/>
      <c r="E524" s="47"/>
      <c r="F524" s="47"/>
      <c r="G524" s="47"/>
      <c r="H524" s="47"/>
      <c r="I524" s="47"/>
      <c r="J524" s="47"/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47"/>
      <c r="Y524" s="47"/>
      <c r="Z524" s="47"/>
    </row>
    <row r="525" spans="1:26" ht="15.75" customHeight="1">
      <c r="A525" s="47"/>
      <c r="B525" s="47"/>
      <c r="C525" s="47"/>
      <c r="D525" s="47"/>
      <c r="E525" s="47"/>
      <c r="F525" s="47"/>
      <c r="G525" s="47"/>
      <c r="H525" s="47"/>
      <c r="I525" s="47"/>
      <c r="J525" s="47"/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47"/>
      <c r="Y525" s="47"/>
      <c r="Z525" s="47"/>
    </row>
    <row r="526" spans="1:26" ht="15.75" customHeight="1">
      <c r="A526" s="47"/>
      <c r="B526" s="47"/>
      <c r="C526" s="47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47"/>
      <c r="Y526" s="47"/>
      <c r="Z526" s="47"/>
    </row>
    <row r="527" spans="1:26" ht="15.75" customHeight="1">
      <c r="A527" s="47"/>
      <c r="B527" s="47"/>
      <c r="C527" s="47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47"/>
      <c r="Y527" s="47"/>
      <c r="Z527" s="47"/>
    </row>
    <row r="528" spans="1:26" ht="15.75" customHeight="1">
      <c r="A528" s="47"/>
      <c r="B528" s="47"/>
      <c r="C528" s="47"/>
      <c r="D528" s="47"/>
      <c r="E528" s="47"/>
      <c r="F528" s="47"/>
      <c r="G528" s="47"/>
      <c r="H528" s="47"/>
      <c r="I528" s="47"/>
      <c r="J528" s="47"/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47"/>
      <c r="Y528" s="47"/>
      <c r="Z528" s="47"/>
    </row>
    <row r="529" spans="1:26" ht="15.75" customHeight="1">
      <c r="A529" s="47"/>
      <c r="B529" s="47"/>
      <c r="C529" s="47"/>
      <c r="D529" s="47"/>
      <c r="E529" s="47"/>
      <c r="F529" s="47"/>
      <c r="G529" s="47"/>
      <c r="H529" s="47"/>
      <c r="I529" s="47"/>
      <c r="J529" s="47"/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47"/>
      <c r="X529" s="47"/>
      <c r="Y529" s="47"/>
      <c r="Z529" s="47"/>
    </row>
    <row r="530" spans="1:26" ht="15.75" customHeight="1">
      <c r="A530" s="47"/>
      <c r="B530" s="47"/>
      <c r="C530" s="47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47"/>
      <c r="X530" s="47"/>
      <c r="Y530" s="47"/>
      <c r="Z530" s="47"/>
    </row>
    <row r="531" spans="1:26" ht="15.75" customHeight="1">
      <c r="A531" s="47"/>
      <c r="B531" s="47"/>
      <c r="C531" s="47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47"/>
      <c r="X531" s="47"/>
      <c r="Y531" s="47"/>
      <c r="Z531" s="47"/>
    </row>
    <row r="532" spans="1:26" ht="15.75" customHeight="1">
      <c r="A532" s="47"/>
      <c r="B532" s="47"/>
      <c r="C532" s="47"/>
      <c r="D532" s="47"/>
      <c r="E532" s="47"/>
      <c r="F532" s="47"/>
      <c r="G532" s="47"/>
      <c r="H532" s="47"/>
      <c r="I532" s="47"/>
      <c r="J532" s="47"/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47"/>
      <c r="X532" s="47"/>
      <c r="Y532" s="47"/>
      <c r="Z532" s="47"/>
    </row>
    <row r="533" spans="1:26" ht="15.75" customHeight="1">
      <c r="A533" s="47"/>
      <c r="B533" s="47"/>
      <c r="C533" s="47"/>
      <c r="D533" s="47"/>
      <c r="E533" s="47"/>
      <c r="F533" s="47"/>
      <c r="G533" s="47"/>
      <c r="H533" s="47"/>
      <c r="I533" s="47"/>
      <c r="J533" s="47"/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47"/>
      <c r="X533" s="47"/>
      <c r="Y533" s="47"/>
      <c r="Z533" s="47"/>
    </row>
    <row r="534" spans="1:26" ht="15.75" customHeight="1">
      <c r="A534" s="47"/>
      <c r="B534" s="47"/>
      <c r="C534" s="47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47"/>
      <c r="X534" s="47"/>
      <c r="Y534" s="47"/>
      <c r="Z534" s="47"/>
    </row>
    <row r="535" spans="1:26" ht="15.75" customHeight="1">
      <c r="A535" s="47"/>
      <c r="B535" s="47"/>
      <c r="C535" s="47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47"/>
      <c r="X535" s="47"/>
      <c r="Y535" s="47"/>
      <c r="Z535" s="47"/>
    </row>
    <row r="536" spans="1:26" ht="15.75" customHeight="1">
      <c r="A536" s="47"/>
      <c r="B536" s="47"/>
      <c r="C536" s="47"/>
      <c r="D536" s="47"/>
      <c r="E536" s="47"/>
      <c r="F536" s="47"/>
      <c r="G536" s="47"/>
      <c r="H536" s="47"/>
      <c r="I536" s="47"/>
      <c r="J536" s="47"/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47"/>
      <c r="X536" s="47"/>
      <c r="Y536" s="47"/>
      <c r="Z536" s="47"/>
    </row>
    <row r="537" spans="1:26" ht="15.75" customHeight="1">
      <c r="A537" s="47"/>
      <c r="B537" s="47"/>
      <c r="C537" s="47"/>
      <c r="D537" s="47"/>
      <c r="E537" s="47"/>
      <c r="F537" s="47"/>
      <c r="G537" s="47"/>
      <c r="H537" s="47"/>
      <c r="I537" s="47"/>
      <c r="J537" s="47"/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47"/>
      <c r="X537" s="47"/>
      <c r="Y537" s="47"/>
      <c r="Z537" s="47"/>
    </row>
    <row r="538" spans="1:26" ht="15.75" customHeight="1">
      <c r="A538" s="47"/>
      <c r="B538" s="47"/>
      <c r="C538" s="47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47"/>
      <c r="X538" s="47"/>
      <c r="Y538" s="47"/>
      <c r="Z538" s="47"/>
    </row>
    <row r="539" spans="1:26" ht="15.75" customHeight="1">
      <c r="A539" s="47"/>
      <c r="B539" s="47"/>
      <c r="C539" s="47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  <c r="S539" s="47"/>
      <c r="T539" s="47"/>
      <c r="U539" s="47"/>
      <c r="V539" s="47"/>
      <c r="W539" s="47"/>
      <c r="X539" s="47"/>
      <c r="Y539" s="47"/>
      <c r="Z539" s="47"/>
    </row>
    <row r="540" spans="1:26" ht="15.75" customHeight="1">
      <c r="A540" s="47"/>
      <c r="B540" s="47"/>
      <c r="C540" s="47"/>
      <c r="D540" s="47"/>
      <c r="E540" s="47"/>
      <c r="F540" s="47"/>
      <c r="G540" s="47"/>
      <c r="H540" s="47"/>
      <c r="I540" s="47"/>
      <c r="J540" s="47"/>
      <c r="K540" s="47"/>
      <c r="L540" s="47"/>
      <c r="M540" s="47"/>
      <c r="N540" s="47"/>
      <c r="O540" s="47"/>
      <c r="P540" s="47"/>
      <c r="Q540" s="47"/>
      <c r="R540" s="47"/>
      <c r="S540" s="47"/>
      <c r="T540" s="47"/>
      <c r="U540" s="47"/>
      <c r="V540" s="47"/>
      <c r="W540" s="47"/>
      <c r="X540" s="47"/>
      <c r="Y540" s="47"/>
      <c r="Z540" s="47"/>
    </row>
    <row r="541" spans="1:26" ht="15.75" customHeight="1">
      <c r="A541" s="47"/>
      <c r="B541" s="47"/>
      <c r="C541" s="47"/>
      <c r="D541" s="47"/>
      <c r="E541" s="47"/>
      <c r="F541" s="47"/>
      <c r="G541" s="47"/>
      <c r="H541" s="47"/>
      <c r="I541" s="47"/>
      <c r="J541" s="47"/>
      <c r="K541" s="47"/>
      <c r="L541" s="47"/>
      <c r="M541" s="47"/>
      <c r="N541" s="47"/>
      <c r="O541" s="47"/>
      <c r="P541" s="47"/>
      <c r="Q541" s="47"/>
      <c r="R541" s="47"/>
      <c r="S541" s="47"/>
      <c r="T541" s="47"/>
      <c r="U541" s="47"/>
      <c r="V541" s="47"/>
      <c r="W541" s="47"/>
      <c r="X541" s="47"/>
      <c r="Y541" s="47"/>
      <c r="Z541" s="47"/>
    </row>
    <row r="542" spans="1:26" ht="15.75" customHeight="1">
      <c r="A542" s="47"/>
      <c r="B542" s="47"/>
      <c r="C542" s="47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  <c r="S542" s="47"/>
      <c r="T542" s="47"/>
      <c r="U542" s="47"/>
      <c r="V542" s="47"/>
      <c r="W542" s="47"/>
      <c r="X542" s="47"/>
      <c r="Y542" s="47"/>
      <c r="Z542" s="47"/>
    </row>
    <row r="543" spans="1:26" ht="15.75" customHeight="1">
      <c r="A543" s="47"/>
      <c r="B543" s="47"/>
      <c r="C543" s="47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  <c r="S543" s="47"/>
      <c r="T543" s="47"/>
      <c r="U543" s="47"/>
      <c r="V543" s="47"/>
      <c r="W543" s="47"/>
      <c r="X543" s="47"/>
      <c r="Y543" s="47"/>
      <c r="Z543" s="47"/>
    </row>
    <row r="544" spans="1:26" ht="15.75" customHeight="1">
      <c r="A544" s="47"/>
      <c r="B544" s="47"/>
      <c r="C544" s="47"/>
      <c r="D544" s="47"/>
      <c r="E544" s="47"/>
      <c r="F544" s="47"/>
      <c r="G544" s="47"/>
      <c r="H544" s="47"/>
      <c r="I544" s="47"/>
      <c r="J544" s="47"/>
      <c r="K544" s="47"/>
      <c r="L544" s="47"/>
      <c r="M544" s="47"/>
      <c r="N544" s="47"/>
      <c r="O544" s="47"/>
      <c r="P544" s="47"/>
      <c r="Q544" s="47"/>
      <c r="R544" s="47"/>
      <c r="S544" s="47"/>
      <c r="T544" s="47"/>
      <c r="U544" s="47"/>
      <c r="V544" s="47"/>
      <c r="W544" s="47"/>
      <c r="X544" s="47"/>
      <c r="Y544" s="47"/>
      <c r="Z544" s="47"/>
    </row>
    <row r="545" spans="1:26" ht="15.75" customHeight="1">
      <c r="A545" s="47"/>
      <c r="B545" s="47"/>
      <c r="C545" s="47"/>
      <c r="D545" s="47"/>
      <c r="E545" s="47"/>
      <c r="F545" s="47"/>
      <c r="G545" s="47"/>
      <c r="H545" s="47"/>
      <c r="I545" s="47"/>
      <c r="J545" s="47"/>
      <c r="K545" s="47"/>
      <c r="L545" s="47"/>
      <c r="M545" s="47"/>
      <c r="N545" s="47"/>
      <c r="O545" s="47"/>
      <c r="P545" s="47"/>
      <c r="Q545" s="47"/>
      <c r="R545" s="47"/>
      <c r="S545" s="47"/>
      <c r="T545" s="47"/>
      <c r="U545" s="47"/>
      <c r="V545" s="47"/>
      <c r="W545" s="47"/>
      <c r="X545" s="47"/>
      <c r="Y545" s="47"/>
      <c r="Z545" s="47"/>
    </row>
    <row r="546" spans="1:26" ht="15.75" customHeight="1">
      <c r="A546" s="47"/>
      <c r="B546" s="47"/>
      <c r="C546" s="47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  <c r="S546" s="47"/>
      <c r="T546" s="47"/>
      <c r="U546" s="47"/>
      <c r="V546" s="47"/>
      <c r="W546" s="47"/>
      <c r="X546" s="47"/>
      <c r="Y546" s="47"/>
      <c r="Z546" s="47"/>
    </row>
    <row r="547" spans="1:26" ht="15.75" customHeight="1">
      <c r="A547" s="47"/>
      <c r="B547" s="47"/>
      <c r="C547" s="47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  <c r="S547" s="47"/>
      <c r="T547" s="47"/>
      <c r="U547" s="47"/>
      <c r="V547" s="47"/>
      <c r="W547" s="47"/>
      <c r="X547" s="47"/>
      <c r="Y547" s="47"/>
      <c r="Z547" s="47"/>
    </row>
    <row r="548" spans="1:26" ht="15.75" customHeight="1">
      <c r="A548" s="47"/>
      <c r="B548" s="47"/>
      <c r="C548" s="47"/>
      <c r="D548" s="47"/>
      <c r="E548" s="47"/>
      <c r="F548" s="47"/>
      <c r="G548" s="47"/>
      <c r="H548" s="47"/>
      <c r="I548" s="47"/>
      <c r="J548" s="47"/>
      <c r="K548" s="47"/>
      <c r="L548" s="47"/>
      <c r="M548" s="47"/>
      <c r="N548" s="47"/>
      <c r="O548" s="47"/>
      <c r="P548" s="47"/>
      <c r="Q548" s="47"/>
      <c r="R548" s="47"/>
      <c r="S548" s="47"/>
      <c r="T548" s="47"/>
      <c r="U548" s="47"/>
      <c r="V548" s="47"/>
      <c r="W548" s="47"/>
      <c r="X548" s="47"/>
      <c r="Y548" s="47"/>
      <c r="Z548" s="47"/>
    </row>
    <row r="549" spans="1:26" ht="15.75" customHeight="1">
      <c r="A549" s="47"/>
      <c r="B549" s="47"/>
      <c r="C549" s="47"/>
      <c r="D549" s="47"/>
      <c r="E549" s="47"/>
      <c r="F549" s="47"/>
      <c r="G549" s="47"/>
      <c r="H549" s="47"/>
      <c r="I549" s="47"/>
      <c r="J549" s="47"/>
      <c r="K549" s="47"/>
      <c r="L549" s="47"/>
      <c r="M549" s="47"/>
      <c r="N549" s="47"/>
      <c r="O549" s="47"/>
      <c r="P549" s="47"/>
      <c r="Q549" s="47"/>
      <c r="R549" s="47"/>
      <c r="S549" s="47"/>
      <c r="T549" s="47"/>
      <c r="U549" s="47"/>
      <c r="V549" s="47"/>
      <c r="W549" s="47"/>
      <c r="X549" s="47"/>
      <c r="Y549" s="47"/>
      <c r="Z549" s="47"/>
    </row>
    <row r="550" spans="1:26" ht="15.75" customHeight="1">
      <c r="A550" s="47"/>
      <c r="B550" s="47"/>
      <c r="C550" s="47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  <c r="S550" s="47"/>
      <c r="T550" s="47"/>
      <c r="U550" s="47"/>
      <c r="V550" s="47"/>
      <c r="W550" s="47"/>
      <c r="X550" s="47"/>
      <c r="Y550" s="47"/>
      <c r="Z550" s="47"/>
    </row>
    <row r="551" spans="1:26" ht="15.75" customHeight="1">
      <c r="A551" s="47"/>
      <c r="B551" s="47"/>
      <c r="C551" s="47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  <c r="S551" s="47"/>
      <c r="T551" s="47"/>
      <c r="U551" s="47"/>
      <c r="V551" s="47"/>
      <c r="W551" s="47"/>
      <c r="X551" s="47"/>
      <c r="Y551" s="47"/>
      <c r="Z551" s="47"/>
    </row>
    <row r="552" spans="1:26" ht="15.75" customHeight="1">
      <c r="A552" s="47"/>
      <c r="B552" s="47"/>
      <c r="C552" s="47"/>
      <c r="D552" s="47"/>
      <c r="E552" s="47"/>
      <c r="F552" s="47"/>
      <c r="G552" s="47"/>
      <c r="H552" s="47"/>
      <c r="I552" s="47"/>
      <c r="J552" s="47"/>
      <c r="K552" s="47"/>
      <c r="L552" s="47"/>
      <c r="M552" s="47"/>
      <c r="N552" s="47"/>
      <c r="O552" s="47"/>
      <c r="P552" s="47"/>
      <c r="Q552" s="47"/>
      <c r="R552" s="47"/>
      <c r="S552" s="47"/>
      <c r="T552" s="47"/>
      <c r="U552" s="47"/>
      <c r="V552" s="47"/>
      <c r="W552" s="47"/>
      <c r="X552" s="47"/>
      <c r="Y552" s="47"/>
      <c r="Z552" s="47"/>
    </row>
    <row r="553" spans="1:26" ht="15.75" customHeight="1">
      <c r="A553" s="47"/>
      <c r="B553" s="47"/>
      <c r="C553" s="47"/>
      <c r="D553" s="47"/>
      <c r="E553" s="47"/>
      <c r="F553" s="47"/>
      <c r="G553" s="47"/>
      <c r="H553" s="47"/>
      <c r="I553" s="47"/>
      <c r="J553" s="47"/>
      <c r="K553" s="47"/>
      <c r="L553" s="47"/>
      <c r="M553" s="47"/>
      <c r="N553" s="47"/>
      <c r="O553" s="47"/>
      <c r="P553" s="47"/>
      <c r="Q553" s="47"/>
      <c r="R553" s="47"/>
      <c r="S553" s="47"/>
      <c r="T553" s="47"/>
      <c r="U553" s="47"/>
      <c r="V553" s="47"/>
      <c r="W553" s="47"/>
      <c r="X553" s="47"/>
      <c r="Y553" s="47"/>
      <c r="Z553" s="47"/>
    </row>
    <row r="554" spans="1:26" ht="15.75" customHeight="1">
      <c r="A554" s="47"/>
      <c r="B554" s="47"/>
      <c r="C554" s="47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  <c r="S554" s="47"/>
      <c r="T554" s="47"/>
      <c r="U554" s="47"/>
      <c r="V554" s="47"/>
      <c r="W554" s="47"/>
      <c r="X554" s="47"/>
      <c r="Y554" s="47"/>
      <c r="Z554" s="47"/>
    </row>
    <row r="555" spans="1:26" ht="15.75" customHeight="1">
      <c r="A555" s="47"/>
      <c r="B555" s="47"/>
      <c r="C555" s="47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  <c r="S555" s="47"/>
      <c r="T555" s="47"/>
      <c r="U555" s="47"/>
      <c r="V555" s="47"/>
      <c r="W555" s="47"/>
      <c r="X555" s="47"/>
      <c r="Y555" s="47"/>
      <c r="Z555" s="47"/>
    </row>
    <row r="556" spans="1:26" ht="15.75" customHeight="1">
      <c r="A556" s="47"/>
      <c r="B556" s="47"/>
      <c r="C556" s="47"/>
      <c r="D556" s="47"/>
      <c r="E556" s="47"/>
      <c r="F556" s="47"/>
      <c r="G556" s="47"/>
      <c r="H556" s="47"/>
      <c r="I556" s="47"/>
      <c r="J556" s="47"/>
      <c r="K556" s="47"/>
      <c r="L556" s="47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47"/>
      <c r="X556" s="47"/>
      <c r="Y556" s="47"/>
      <c r="Z556" s="47"/>
    </row>
    <row r="557" spans="1:26" ht="15.75" customHeight="1">
      <c r="A557" s="47"/>
      <c r="B557" s="47"/>
      <c r="C557" s="47"/>
      <c r="D557" s="47"/>
      <c r="E557" s="47"/>
      <c r="F557" s="47"/>
      <c r="G557" s="47"/>
      <c r="H557" s="47"/>
      <c r="I557" s="47"/>
      <c r="J557" s="47"/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47"/>
      <c r="X557" s="47"/>
      <c r="Y557" s="47"/>
      <c r="Z557" s="47"/>
    </row>
    <row r="558" spans="1:26" ht="15.75" customHeight="1">
      <c r="A558" s="47"/>
      <c r="B558" s="47"/>
      <c r="C558" s="47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47"/>
      <c r="X558" s="47"/>
      <c r="Y558" s="47"/>
      <c r="Z558" s="47"/>
    </row>
    <row r="559" spans="1:26" ht="15.75" customHeight="1">
      <c r="A559" s="47"/>
      <c r="B559" s="47"/>
      <c r="C559" s="47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47"/>
      <c r="X559" s="47"/>
      <c r="Y559" s="47"/>
      <c r="Z559" s="47"/>
    </row>
    <row r="560" spans="1:26" ht="15.75" customHeight="1">
      <c r="A560" s="47"/>
      <c r="B560" s="47"/>
      <c r="C560" s="47"/>
      <c r="D560" s="47"/>
      <c r="E560" s="47"/>
      <c r="F560" s="47"/>
      <c r="G560" s="47"/>
      <c r="H560" s="47"/>
      <c r="I560" s="47"/>
      <c r="J560" s="47"/>
      <c r="K560" s="47"/>
      <c r="L560" s="47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47"/>
      <c r="X560" s="47"/>
      <c r="Y560" s="47"/>
      <c r="Z560" s="47"/>
    </row>
    <row r="561" spans="1:26" ht="15.75" customHeight="1">
      <c r="A561" s="47"/>
      <c r="B561" s="47"/>
      <c r="C561" s="47"/>
      <c r="D561" s="47"/>
      <c r="E561" s="47"/>
      <c r="F561" s="47"/>
      <c r="G561" s="47"/>
      <c r="H561" s="47"/>
      <c r="I561" s="47"/>
      <c r="J561" s="47"/>
      <c r="K561" s="47"/>
      <c r="L561" s="47"/>
      <c r="M561" s="47"/>
      <c r="N561" s="47"/>
      <c r="O561" s="47"/>
      <c r="P561" s="47"/>
      <c r="Q561" s="47"/>
      <c r="R561" s="47"/>
      <c r="S561" s="47"/>
      <c r="T561" s="47"/>
      <c r="U561" s="47"/>
      <c r="V561" s="47"/>
      <c r="W561" s="47"/>
      <c r="X561" s="47"/>
      <c r="Y561" s="47"/>
      <c r="Z561" s="47"/>
    </row>
    <row r="562" spans="1:26" ht="15.75" customHeight="1">
      <c r="A562" s="47"/>
      <c r="B562" s="47"/>
      <c r="C562" s="47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  <c r="S562" s="47"/>
      <c r="T562" s="47"/>
      <c r="U562" s="47"/>
      <c r="V562" s="47"/>
      <c r="W562" s="47"/>
      <c r="X562" s="47"/>
      <c r="Y562" s="47"/>
      <c r="Z562" s="47"/>
    </row>
    <row r="563" spans="1:26" ht="15.75" customHeight="1">
      <c r="A563" s="47"/>
      <c r="B563" s="47"/>
      <c r="C563" s="47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47"/>
      <c r="X563" s="47"/>
      <c r="Y563" s="47"/>
      <c r="Z563" s="47"/>
    </row>
    <row r="564" spans="1:26" ht="15.75" customHeight="1">
      <c r="A564" s="47"/>
      <c r="B564" s="47"/>
      <c r="C564" s="47"/>
      <c r="D564" s="47"/>
      <c r="E564" s="47"/>
      <c r="F564" s="47"/>
      <c r="G564" s="47"/>
      <c r="H564" s="47"/>
      <c r="I564" s="47"/>
      <c r="J564" s="47"/>
      <c r="K564" s="47"/>
      <c r="L564" s="47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47"/>
      <c r="X564" s="47"/>
      <c r="Y564" s="47"/>
      <c r="Z564" s="47"/>
    </row>
    <row r="565" spans="1:26" ht="15.75" customHeight="1">
      <c r="A565" s="47"/>
      <c r="B565" s="47"/>
      <c r="C565" s="47"/>
      <c r="D565" s="47"/>
      <c r="E565" s="47"/>
      <c r="F565" s="47"/>
      <c r="G565" s="47"/>
      <c r="H565" s="47"/>
      <c r="I565" s="47"/>
      <c r="J565" s="47"/>
      <c r="K565" s="47"/>
      <c r="L565" s="47"/>
      <c r="M565" s="47"/>
      <c r="N565" s="47"/>
      <c r="O565" s="47"/>
      <c r="P565" s="47"/>
      <c r="Q565" s="47"/>
      <c r="R565" s="47"/>
      <c r="S565" s="47"/>
      <c r="T565" s="47"/>
      <c r="U565" s="47"/>
      <c r="V565" s="47"/>
      <c r="W565" s="47"/>
      <c r="X565" s="47"/>
      <c r="Y565" s="47"/>
      <c r="Z565" s="47"/>
    </row>
    <row r="566" spans="1:26" ht="15.75" customHeight="1">
      <c r="A566" s="47"/>
      <c r="B566" s="47"/>
      <c r="C566" s="47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  <c r="S566" s="47"/>
      <c r="T566" s="47"/>
      <c r="U566" s="47"/>
      <c r="V566" s="47"/>
      <c r="W566" s="47"/>
      <c r="X566" s="47"/>
      <c r="Y566" s="47"/>
      <c r="Z566" s="47"/>
    </row>
    <row r="567" spans="1:26" ht="15.75" customHeight="1">
      <c r="A567" s="47"/>
      <c r="B567" s="47"/>
      <c r="C567" s="47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  <c r="S567" s="47"/>
      <c r="T567" s="47"/>
      <c r="U567" s="47"/>
      <c r="V567" s="47"/>
      <c r="W567" s="47"/>
      <c r="X567" s="47"/>
      <c r="Y567" s="47"/>
      <c r="Z567" s="47"/>
    </row>
    <row r="568" spans="1:26" ht="15.75" customHeight="1">
      <c r="A568" s="47"/>
      <c r="B568" s="47"/>
      <c r="C568" s="47"/>
      <c r="D568" s="47"/>
      <c r="E568" s="47"/>
      <c r="F568" s="47"/>
      <c r="G568" s="47"/>
      <c r="H568" s="47"/>
      <c r="I568" s="47"/>
      <c r="J568" s="47"/>
      <c r="K568" s="47"/>
      <c r="L568" s="47"/>
      <c r="M568" s="47"/>
      <c r="N568" s="47"/>
      <c r="O568" s="47"/>
      <c r="P568" s="47"/>
      <c r="Q568" s="47"/>
      <c r="R568" s="47"/>
      <c r="S568" s="47"/>
      <c r="T568" s="47"/>
      <c r="U568" s="47"/>
      <c r="V568" s="47"/>
      <c r="W568" s="47"/>
      <c r="X568" s="47"/>
      <c r="Y568" s="47"/>
      <c r="Z568" s="47"/>
    </row>
    <row r="569" spans="1:26" ht="15.75" customHeight="1">
      <c r="A569" s="47"/>
      <c r="B569" s="47"/>
      <c r="C569" s="47"/>
      <c r="D569" s="47"/>
      <c r="E569" s="47"/>
      <c r="F569" s="47"/>
      <c r="G569" s="47"/>
      <c r="H569" s="47"/>
      <c r="I569" s="47"/>
      <c r="J569" s="47"/>
      <c r="K569" s="47"/>
      <c r="L569" s="47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47"/>
      <c r="X569" s="47"/>
      <c r="Y569" s="47"/>
      <c r="Z569" s="47"/>
    </row>
    <row r="570" spans="1:26" ht="15.75" customHeight="1">
      <c r="A570" s="47"/>
      <c r="B570" s="47"/>
      <c r="C570" s="47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47"/>
      <c r="X570" s="47"/>
      <c r="Y570" s="47"/>
      <c r="Z570" s="47"/>
    </row>
    <row r="571" spans="1:26" ht="15.75" customHeight="1">
      <c r="A571" s="47"/>
      <c r="B571" s="47"/>
      <c r="C571" s="47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47"/>
      <c r="X571" s="47"/>
      <c r="Y571" s="47"/>
      <c r="Z571" s="47"/>
    </row>
    <row r="572" spans="1:26" ht="15.75" customHeight="1">
      <c r="A572" s="47"/>
      <c r="B572" s="47"/>
      <c r="C572" s="47"/>
      <c r="D572" s="47"/>
      <c r="E572" s="47"/>
      <c r="F572" s="47"/>
      <c r="G572" s="47"/>
      <c r="H572" s="47"/>
      <c r="I572" s="47"/>
      <c r="J572" s="47"/>
      <c r="K572" s="47"/>
      <c r="L572" s="47"/>
      <c r="M572" s="47"/>
      <c r="N572" s="47"/>
      <c r="O572" s="47"/>
      <c r="P572" s="47"/>
      <c r="Q572" s="47"/>
      <c r="R572" s="47"/>
      <c r="S572" s="47"/>
      <c r="T572" s="47"/>
      <c r="U572" s="47"/>
      <c r="V572" s="47"/>
      <c r="W572" s="47"/>
      <c r="X572" s="47"/>
      <c r="Y572" s="47"/>
      <c r="Z572" s="47"/>
    </row>
    <row r="573" spans="1:26" ht="15.75" customHeight="1">
      <c r="A573" s="47"/>
      <c r="B573" s="47"/>
      <c r="C573" s="47"/>
      <c r="D573" s="47"/>
      <c r="E573" s="47"/>
      <c r="F573" s="47"/>
      <c r="G573" s="47"/>
      <c r="H573" s="47"/>
      <c r="I573" s="47"/>
      <c r="J573" s="47"/>
      <c r="K573" s="47"/>
      <c r="L573" s="47"/>
      <c r="M573" s="47"/>
      <c r="N573" s="47"/>
      <c r="O573" s="47"/>
      <c r="P573" s="47"/>
      <c r="Q573" s="47"/>
      <c r="R573" s="47"/>
      <c r="S573" s="47"/>
      <c r="T573" s="47"/>
      <c r="U573" s="47"/>
      <c r="V573" s="47"/>
      <c r="W573" s="47"/>
      <c r="X573" s="47"/>
      <c r="Y573" s="47"/>
      <c r="Z573" s="47"/>
    </row>
    <row r="574" spans="1:26" ht="15.75" customHeight="1">
      <c r="A574" s="47"/>
      <c r="B574" s="47"/>
      <c r="C574" s="47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47"/>
      <c r="X574" s="47"/>
      <c r="Y574" s="47"/>
      <c r="Z574" s="47"/>
    </row>
    <row r="575" spans="1:26" ht="15.75" customHeight="1">
      <c r="A575" s="47"/>
      <c r="B575" s="47"/>
      <c r="C575" s="47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47"/>
      <c r="X575" s="47"/>
      <c r="Y575" s="47"/>
      <c r="Z575" s="47"/>
    </row>
    <row r="576" spans="1:26" ht="15.75" customHeight="1">
      <c r="A576" s="47"/>
      <c r="B576" s="47"/>
      <c r="C576" s="47"/>
      <c r="D576" s="47"/>
      <c r="E576" s="47"/>
      <c r="F576" s="47"/>
      <c r="G576" s="47"/>
      <c r="H576" s="47"/>
      <c r="I576" s="47"/>
      <c r="J576" s="47"/>
      <c r="K576" s="47"/>
      <c r="L576" s="47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47"/>
      <c r="X576" s="47"/>
      <c r="Y576" s="47"/>
      <c r="Z576" s="47"/>
    </row>
    <row r="577" spans="1:26" ht="15.75" customHeight="1">
      <c r="A577" s="47"/>
      <c r="B577" s="47"/>
      <c r="C577" s="47"/>
      <c r="D577" s="47"/>
      <c r="E577" s="47"/>
      <c r="F577" s="47"/>
      <c r="G577" s="47"/>
      <c r="H577" s="47"/>
      <c r="I577" s="47"/>
      <c r="J577" s="47"/>
      <c r="K577" s="47"/>
      <c r="L577" s="47"/>
      <c r="M577" s="47"/>
      <c r="N577" s="47"/>
      <c r="O577" s="47"/>
      <c r="P577" s="47"/>
      <c r="Q577" s="47"/>
      <c r="R577" s="47"/>
      <c r="S577" s="47"/>
      <c r="T577" s="47"/>
      <c r="U577" s="47"/>
      <c r="V577" s="47"/>
      <c r="W577" s="47"/>
      <c r="X577" s="47"/>
      <c r="Y577" s="47"/>
      <c r="Z577" s="47"/>
    </row>
    <row r="578" spans="1:26" ht="15.75" customHeight="1">
      <c r="A578" s="47"/>
      <c r="B578" s="47"/>
      <c r="C578" s="47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47"/>
      <c r="X578" s="47"/>
      <c r="Y578" s="47"/>
      <c r="Z578" s="47"/>
    </row>
    <row r="579" spans="1:26" ht="15.75" customHeight="1">
      <c r="A579" s="47"/>
      <c r="B579" s="47"/>
      <c r="C579" s="47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47"/>
      <c r="X579" s="47"/>
      <c r="Y579" s="47"/>
      <c r="Z579" s="47"/>
    </row>
    <row r="580" spans="1:26" ht="15.75" customHeight="1">
      <c r="A580" s="47"/>
      <c r="B580" s="47"/>
      <c r="C580" s="47"/>
      <c r="D580" s="47"/>
      <c r="E580" s="47"/>
      <c r="F580" s="47"/>
      <c r="G580" s="47"/>
      <c r="H580" s="47"/>
      <c r="I580" s="47"/>
      <c r="J580" s="47"/>
      <c r="K580" s="47"/>
      <c r="L580" s="47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47"/>
      <c r="X580" s="47"/>
      <c r="Y580" s="47"/>
      <c r="Z580" s="47"/>
    </row>
    <row r="581" spans="1:26" ht="15.75" customHeight="1">
      <c r="A581" s="47"/>
      <c r="B581" s="47"/>
      <c r="C581" s="47"/>
      <c r="D581" s="47"/>
      <c r="E581" s="47"/>
      <c r="F581" s="47"/>
      <c r="G581" s="47"/>
      <c r="H581" s="47"/>
      <c r="I581" s="47"/>
      <c r="J581" s="47"/>
      <c r="K581" s="47"/>
      <c r="L581" s="47"/>
      <c r="M581" s="47"/>
      <c r="N581" s="47"/>
      <c r="O581" s="47"/>
      <c r="P581" s="47"/>
      <c r="Q581" s="47"/>
      <c r="R581" s="47"/>
      <c r="S581" s="47"/>
      <c r="T581" s="47"/>
      <c r="U581" s="47"/>
      <c r="V581" s="47"/>
      <c r="W581" s="47"/>
      <c r="X581" s="47"/>
      <c r="Y581" s="47"/>
      <c r="Z581" s="47"/>
    </row>
    <row r="582" spans="1:26" ht="15.75" customHeight="1">
      <c r="A582" s="47"/>
      <c r="B582" s="47"/>
      <c r="C582" s="47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47"/>
      <c r="X582" s="47"/>
      <c r="Y582" s="47"/>
      <c r="Z582" s="47"/>
    </row>
    <row r="583" spans="1:26" ht="15.75" customHeight="1">
      <c r="A583" s="47"/>
      <c r="B583" s="47"/>
      <c r="C583" s="47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47"/>
      <c r="X583" s="47"/>
      <c r="Y583" s="47"/>
      <c r="Z583" s="47"/>
    </row>
    <row r="584" spans="1:26" ht="15.75" customHeight="1">
      <c r="A584" s="47"/>
      <c r="B584" s="47"/>
      <c r="C584" s="47"/>
      <c r="D584" s="47"/>
      <c r="E584" s="47"/>
      <c r="F584" s="47"/>
      <c r="G584" s="47"/>
      <c r="H584" s="47"/>
      <c r="I584" s="47"/>
      <c r="J584" s="47"/>
      <c r="K584" s="47"/>
      <c r="L584" s="47"/>
      <c r="M584" s="47"/>
      <c r="N584" s="47"/>
      <c r="O584" s="47"/>
      <c r="P584" s="47"/>
      <c r="Q584" s="47"/>
      <c r="R584" s="47"/>
      <c r="S584" s="47"/>
      <c r="T584" s="47"/>
      <c r="U584" s="47"/>
      <c r="V584" s="47"/>
      <c r="W584" s="47"/>
      <c r="X584" s="47"/>
      <c r="Y584" s="47"/>
      <c r="Z584" s="47"/>
    </row>
    <row r="585" spans="1:26" ht="15.75" customHeight="1">
      <c r="A585" s="47"/>
      <c r="B585" s="47"/>
      <c r="C585" s="47"/>
      <c r="D585" s="47"/>
      <c r="E585" s="47"/>
      <c r="F585" s="47"/>
      <c r="G585" s="47"/>
      <c r="H585" s="47"/>
      <c r="I585" s="47"/>
      <c r="J585" s="47"/>
      <c r="K585" s="47"/>
      <c r="L585" s="47"/>
      <c r="M585" s="47"/>
      <c r="N585" s="47"/>
      <c r="O585" s="47"/>
      <c r="P585" s="47"/>
      <c r="Q585" s="47"/>
      <c r="R585" s="47"/>
      <c r="S585" s="47"/>
      <c r="T585" s="47"/>
      <c r="U585" s="47"/>
      <c r="V585" s="47"/>
      <c r="W585" s="47"/>
      <c r="X585" s="47"/>
      <c r="Y585" s="47"/>
      <c r="Z585" s="47"/>
    </row>
    <row r="586" spans="1:26" ht="15.75" customHeight="1">
      <c r="A586" s="47"/>
      <c r="B586" s="47"/>
      <c r="C586" s="47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  <c r="S586" s="47"/>
      <c r="T586" s="47"/>
      <c r="U586" s="47"/>
      <c r="V586" s="47"/>
      <c r="W586" s="47"/>
      <c r="X586" s="47"/>
      <c r="Y586" s="47"/>
      <c r="Z586" s="47"/>
    </row>
    <row r="587" spans="1:26" ht="15.75" customHeight="1">
      <c r="A587" s="47"/>
      <c r="B587" s="47"/>
      <c r="C587" s="47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  <c r="S587" s="47"/>
      <c r="T587" s="47"/>
      <c r="U587" s="47"/>
      <c r="V587" s="47"/>
      <c r="W587" s="47"/>
      <c r="X587" s="47"/>
      <c r="Y587" s="47"/>
      <c r="Z587" s="47"/>
    </row>
    <row r="588" spans="1:26" ht="15.75" customHeight="1">
      <c r="A588" s="47"/>
      <c r="B588" s="47"/>
      <c r="C588" s="47"/>
      <c r="D588" s="47"/>
      <c r="E588" s="47"/>
      <c r="F588" s="47"/>
      <c r="G588" s="47"/>
      <c r="H588" s="47"/>
      <c r="I588" s="47"/>
      <c r="J588" s="47"/>
      <c r="K588" s="47"/>
      <c r="L588" s="47"/>
      <c r="M588" s="47"/>
      <c r="N588" s="47"/>
      <c r="O588" s="47"/>
      <c r="P588" s="47"/>
      <c r="Q588" s="47"/>
      <c r="R588" s="47"/>
      <c r="S588" s="47"/>
      <c r="T588" s="47"/>
      <c r="U588" s="47"/>
      <c r="V588" s="47"/>
      <c r="W588" s="47"/>
      <c r="X588" s="47"/>
      <c r="Y588" s="47"/>
      <c r="Z588" s="47"/>
    </row>
    <row r="589" spans="1:26" ht="15.75" customHeight="1">
      <c r="A589" s="47"/>
      <c r="B589" s="47"/>
      <c r="C589" s="47"/>
      <c r="D589" s="47"/>
      <c r="E589" s="47"/>
      <c r="F589" s="47"/>
      <c r="G589" s="47"/>
      <c r="H589" s="47"/>
      <c r="I589" s="47"/>
      <c r="J589" s="47"/>
      <c r="K589" s="47"/>
      <c r="L589" s="47"/>
      <c r="M589" s="47"/>
      <c r="N589" s="47"/>
      <c r="O589" s="47"/>
      <c r="P589" s="47"/>
      <c r="Q589" s="47"/>
      <c r="R589" s="47"/>
      <c r="S589" s="47"/>
      <c r="T589" s="47"/>
      <c r="U589" s="47"/>
      <c r="V589" s="47"/>
      <c r="W589" s="47"/>
      <c r="X589" s="47"/>
      <c r="Y589" s="47"/>
      <c r="Z589" s="47"/>
    </row>
    <row r="590" spans="1:26" ht="15.75" customHeight="1">
      <c r="A590" s="47"/>
      <c r="B590" s="47"/>
      <c r="C590" s="47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  <c r="S590" s="47"/>
      <c r="T590" s="47"/>
      <c r="U590" s="47"/>
      <c r="V590" s="47"/>
      <c r="W590" s="47"/>
      <c r="X590" s="47"/>
      <c r="Y590" s="47"/>
      <c r="Z590" s="47"/>
    </row>
    <row r="591" spans="1:26" ht="15.75" customHeight="1">
      <c r="A591" s="47"/>
      <c r="B591" s="47"/>
      <c r="C591" s="47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  <c r="S591" s="47"/>
      <c r="T591" s="47"/>
      <c r="U591" s="47"/>
      <c r="V591" s="47"/>
      <c r="W591" s="47"/>
      <c r="X591" s="47"/>
      <c r="Y591" s="47"/>
      <c r="Z591" s="47"/>
    </row>
    <row r="592" spans="1:26" ht="15.75" customHeight="1">
      <c r="A592" s="47"/>
      <c r="B592" s="47"/>
      <c r="C592" s="47"/>
      <c r="D592" s="47"/>
      <c r="E592" s="47"/>
      <c r="F592" s="47"/>
      <c r="G592" s="47"/>
      <c r="H592" s="47"/>
      <c r="I592" s="47"/>
      <c r="J592" s="47"/>
      <c r="K592" s="47"/>
      <c r="L592" s="47"/>
      <c r="M592" s="47"/>
      <c r="N592" s="47"/>
      <c r="O592" s="47"/>
      <c r="P592" s="47"/>
      <c r="Q592" s="47"/>
      <c r="R592" s="47"/>
      <c r="S592" s="47"/>
      <c r="T592" s="47"/>
      <c r="U592" s="47"/>
      <c r="V592" s="47"/>
      <c r="W592" s="47"/>
      <c r="X592" s="47"/>
      <c r="Y592" s="47"/>
      <c r="Z592" s="47"/>
    </row>
    <row r="593" spans="1:26" ht="15.75" customHeight="1">
      <c r="A593" s="47"/>
      <c r="B593" s="47"/>
      <c r="C593" s="47"/>
      <c r="D593" s="47"/>
      <c r="E593" s="47"/>
      <c r="F593" s="47"/>
      <c r="G593" s="47"/>
      <c r="H593" s="47"/>
      <c r="I593" s="47"/>
      <c r="J593" s="47"/>
      <c r="K593" s="47"/>
      <c r="L593" s="47"/>
      <c r="M593" s="47"/>
      <c r="N593" s="47"/>
      <c r="O593" s="47"/>
      <c r="P593" s="47"/>
      <c r="Q593" s="47"/>
      <c r="R593" s="47"/>
      <c r="S593" s="47"/>
      <c r="T593" s="47"/>
      <c r="U593" s="47"/>
      <c r="V593" s="47"/>
      <c r="W593" s="47"/>
      <c r="X593" s="47"/>
      <c r="Y593" s="47"/>
      <c r="Z593" s="47"/>
    </row>
    <row r="594" spans="1:26" ht="15.75" customHeight="1">
      <c r="A594" s="47"/>
      <c r="B594" s="47"/>
      <c r="C594" s="47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  <c r="S594" s="47"/>
      <c r="T594" s="47"/>
      <c r="U594" s="47"/>
      <c r="V594" s="47"/>
      <c r="W594" s="47"/>
      <c r="X594" s="47"/>
      <c r="Y594" s="47"/>
      <c r="Z594" s="47"/>
    </row>
    <row r="595" spans="1:26" ht="15.75" customHeight="1">
      <c r="A595" s="47"/>
      <c r="B595" s="47"/>
      <c r="C595" s="47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  <c r="S595" s="47"/>
      <c r="T595" s="47"/>
      <c r="U595" s="47"/>
      <c r="V595" s="47"/>
      <c r="W595" s="47"/>
      <c r="X595" s="47"/>
      <c r="Y595" s="47"/>
      <c r="Z595" s="47"/>
    </row>
    <row r="596" spans="1:26" ht="15.75" customHeight="1">
      <c r="A596" s="47"/>
      <c r="B596" s="47"/>
      <c r="C596" s="47"/>
      <c r="D596" s="47"/>
      <c r="E596" s="47"/>
      <c r="F596" s="47"/>
      <c r="G596" s="47"/>
      <c r="H596" s="47"/>
      <c r="I596" s="47"/>
      <c r="J596" s="47"/>
      <c r="K596" s="47"/>
      <c r="L596" s="47"/>
      <c r="M596" s="47"/>
      <c r="N596" s="47"/>
      <c r="O596" s="47"/>
      <c r="P596" s="47"/>
      <c r="Q596" s="47"/>
      <c r="R596" s="47"/>
      <c r="S596" s="47"/>
      <c r="T596" s="47"/>
      <c r="U596" s="47"/>
      <c r="V596" s="47"/>
      <c r="W596" s="47"/>
      <c r="X596" s="47"/>
      <c r="Y596" s="47"/>
      <c r="Z596" s="47"/>
    </row>
    <row r="597" spans="1:26" ht="15.75" customHeight="1">
      <c r="A597" s="47"/>
      <c r="B597" s="47"/>
      <c r="C597" s="47"/>
      <c r="D597" s="47"/>
      <c r="E597" s="47"/>
      <c r="F597" s="47"/>
      <c r="G597" s="47"/>
      <c r="H597" s="47"/>
      <c r="I597" s="47"/>
      <c r="J597" s="47"/>
      <c r="K597" s="47"/>
      <c r="L597" s="47"/>
      <c r="M597" s="47"/>
      <c r="N597" s="47"/>
      <c r="O597" s="47"/>
      <c r="P597" s="47"/>
      <c r="Q597" s="47"/>
      <c r="R597" s="47"/>
      <c r="S597" s="47"/>
      <c r="T597" s="47"/>
      <c r="U597" s="47"/>
      <c r="V597" s="47"/>
      <c r="W597" s="47"/>
      <c r="X597" s="47"/>
      <c r="Y597" s="47"/>
      <c r="Z597" s="47"/>
    </row>
    <row r="598" spans="1:26" ht="15.75" customHeight="1">
      <c r="A598" s="47"/>
      <c r="B598" s="47"/>
      <c r="C598" s="47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  <c r="S598" s="47"/>
      <c r="T598" s="47"/>
      <c r="U598" s="47"/>
      <c r="V598" s="47"/>
      <c r="W598" s="47"/>
      <c r="X598" s="47"/>
      <c r="Y598" s="47"/>
      <c r="Z598" s="47"/>
    </row>
    <row r="599" spans="1:26" ht="15.75" customHeight="1">
      <c r="A599" s="47"/>
      <c r="B599" s="47"/>
      <c r="C599" s="47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  <c r="S599" s="47"/>
      <c r="T599" s="47"/>
      <c r="U599" s="47"/>
      <c r="V599" s="47"/>
      <c r="W599" s="47"/>
      <c r="X599" s="47"/>
      <c r="Y599" s="47"/>
      <c r="Z599" s="47"/>
    </row>
    <row r="600" spans="1:26" ht="15.75" customHeight="1">
      <c r="A600" s="47"/>
      <c r="B600" s="47"/>
      <c r="C600" s="47"/>
      <c r="D600" s="47"/>
      <c r="E600" s="47"/>
      <c r="F600" s="47"/>
      <c r="G600" s="47"/>
      <c r="H600" s="47"/>
      <c r="I600" s="47"/>
      <c r="J600" s="47"/>
      <c r="K600" s="47"/>
      <c r="L600" s="47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47"/>
      <c r="X600" s="47"/>
      <c r="Y600" s="47"/>
      <c r="Z600" s="47"/>
    </row>
    <row r="601" spans="1:26" ht="15.75" customHeight="1">
      <c r="A601" s="47"/>
      <c r="B601" s="47"/>
      <c r="C601" s="47"/>
      <c r="D601" s="47"/>
      <c r="E601" s="47"/>
      <c r="F601" s="47"/>
      <c r="G601" s="47"/>
      <c r="H601" s="47"/>
      <c r="I601" s="47"/>
      <c r="J601" s="47"/>
      <c r="K601" s="47"/>
      <c r="L601" s="47"/>
      <c r="M601" s="47"/>
      <c r="N601" s="47"/>
      <c r="O601" s="47"/>
      <c r="P601" s="47"/>
      <c r="Q601" s="47"/>
      <c r="R601" s="47"/>
      <c r="S601" s="47"/>
      <c r="T601" s="47"/>
      <c r="U601" s="47"/>
      <c r="V601" s="47"/>
      <c r="W601" s="47"/>
      <c r="X601" s="47"/>
      <c r="Y601" s="47"/>
      <c r="Z601" s="47"/>
    </row>
    <row r="602" spans="1:26" ht="15.75" customHeight="1">
      <c r="A602" s="47"/>
      <c r="B602" s="47"/>
      <c r="C602" s="47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  <c r="S602" s="47"/>
      <c r="T602" s="47"/>
      <c r="U602" s="47"/>
      <c r="V602" s="47"/>
      <c r="W602" s="47"/>
      <c r="X602" s="47"/>
      <c r="Y602" s="47"/>
      <c r="Z602" s="47"/>
    </row>
    <row r="603" spans="1:26" ht="15.75" customHeight="1">
      <c r="A603" s="47"/>
      <c r="B603" s="47"/>
      <c r="C603" s="47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  <c r="S603" s="47"/>
      <c r="T603" s="47"/>
      <c r="U603" s="47"/>
      <c r="V603" s="47"/>
      <c r="W603" s="47"/>
      <c r="X603" s="47"/>
      <c r="Y603" s="47"/>
      <c r="Z603" s="47"/>
    </row>
    <row r="604" spans="1:26" ht="15.75" customHeight="1">
      <c r="A604" s="47"/>
      <c r="B604" s="47"/>
      <c r="C604" s="47"/>
      <c r="D604" s="47"/>
      <c r="E604" s="47"/>
      <c r="F604" s="47"/>
      <c r="G604" s="47"/>
      <c r="H604" s="47"/>
      <c r="I604" s="47"/>
      <c r="J604" s="47"/>
      <c r="K604" s="47"/>
      <c r="L604" s="47"/>
      <c r="M604" s="47"/>
      <c r="N604" s="47"/>
      <c r="O604" s="47"/>
      <c r="P604" s="47"/>
      <c r="Q604" s="47"/>
      <c r="R604" s="47"/>
      <c r="S604" s="47"/>
      <c r="T604" s="47"/>
      <c r="U604" s="47"/>
      <c r="V604" s="47"/>
      <c r="W604" s="47"/>
      <c r="X604" s="47"/>
      <c r="Y604" s="47"/>
      <c r="Z604" s="47"/>
    </row>
    <row r="605" spans="1:26" ht="15.75" customHeight="1">
      <c r="A605" s="47"/>
      <c r="B605" s="47"/>
      <c r="C605" s="47"/>
      <c r="D605" s="47"/>
      <c r="E605" s="47"/>
      <c r="F605" s="47"/>
      <c r="G605" s="47"/>
      <c r="H605" s="47"/>
      <c r="I605" s="47"/>
      <c r="J605" s="47"/>
      <c r="K605" s="47"/>
      <c r="L605" s="47"/>
      <c r="M605" s="47"/>
      <c r="N605" s="47"/>
      <c r="O605" s="47"/>
      <c r="P605" s="47"/>
      <c r="Q605" s="47"/>
      <c r="R605" s="47"/>
      <c r="S605" s="47"/>
      <c r="T605" s="47"/>
      <c r="U605" s="47"/>
      <c r="V605" s="47"/>
      <c r="W605" s="47"/>
      <c r="X605" s="47"/>
      <c r="Y605" s="47"/>
      <c r="Z605" s="47"/>
    </row>
    <row r="606" spans="1:26" ht="15.75" customHeight="1">
      <c r="A606" s="47"/>
      <c r="B606" s="47"/>
      <c r="C606" s="47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  <c r="S606" s="47"/>
      <c r="T606" s="47"/>
      <c r="U606" s="47"/>
      <c r="V606" s="47"/>
      <c r="W606" s="47"/>
      <c r="X606" s="47"/>
      <c r="Y606" s="47"/>
      <c r="Z606" s="47"/>
    </row>
    <row r="607" spans="1:26" ht="15.75" customHeight="1">
      <c r="A607" s="47"/>
      <c r="B607" s="47"/>
      <c r="C607" s="47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  <c r="S607" s="47"/>
      <c r="T607" s="47"/>
      <c r="U607" s="47"/>
      <c r="V607" s="47"/>
      <c r="W607" s="47"/>
      <c r="X607" s="47"/>
      <c r="Y607" s="47"/>
      <c r="Z607" s="47"/>
    </row>
    <row r="608" spans="1:26" ht="15.75" customHeight="1">
      <c r="A608" s="47"/>
      <c r="B608" s="47"/>
      <c r="C608" s="47"/>
      <c r="D608" s="47"/>
      <c r="E608" s="47"/>
      <c r="F608" s="47"/>
      <c r="G608" s="47"/>
      <c r="H608" s="47"/>
      <c r="I608" s="47"/>
      <c r="J608" s="47"/>
      <c r="K608" s="47"/>
      <c r="L608" s="47"/>
      <c r="M608" s="47"/>
      <c r="N608" s="47"/>
      <c r="O608" s="47"/>
      <c r="P608" s="47"/>
      <c r="Q608" s="47"/>
      <c r="R608" s="47"/>
      <c r="S608" s="47"/>
      <c r="T608" s="47"/>
      <c r="U608" s="47"/>
      <c r="V608" s="47"/>
      <c r="W608" s="47"/>
      <c r="X608" s="47"/>
      <c r="Y608" s="47"/>
      <c r="Z608" s="47"/>
    </row>
    <row r="609" spans="1:26" ht="15.75" customHeight="1">
      <c r="A609" s="47"/>
      <c r="B609" s="47"/>
      <c r="C609" s="47"/>
      <c r="D609" s="47"/>
      <c r="E609" s="47"/>
      <c r="F609" s="47"/>
      <c r="G609" s="47"/>
      <c r="H609" s="47"/>
      <c r="I609" s="47"/>
      <c r="J609" s="47"/>
      <c r="K609" s="47"/>
      <c r="L609" s="47"/>
      <c r="M609" s="47"/>
      <c r="N609" s="47"/>
      <c r="O609" s="47"/>
      <c r="P609" s="47"/>
      <c r="Q609" s="47"/>
      <c r="R609" s="47"/>
      <c r="S609" s="47"/>
      <c r="T609" s="47"/>
      <c r="U609" s="47"/>
      <c r="V609" s="47"/>
      <c r="W609" s="47"/>
      <c r="X609" s="47"/>
      <c r="Y609" s="47"/>
      <c r="Z609" s="47"/>
    </row>
    <row r="610" spans="1:26" ht="15.75" customHeight="1">
      <c r="A610" s="47"/>
      <c r="B610" s="47"/>
      <c r="C610" s="47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  <c r="S610" s="47"/>
      <c r="T610" s="47"/>
      <c r="U610" s="47"/>
      <c r="V610" s="47"/>
      <c r="W610" s="47"/>
      <c r="X610" s="47"/>
      <c r="Y610" s="47"/>
      <c r="Z610" s="47"/>
    </row>
    <row r="611" spans="1:26" ht="15.75" customHeight="1">
      <c r="A611" s="47"/>
      <c r="B611" s="47"/>
      <c r="C611" s="47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  <c r="S611" s="47"/>
      <c r="T611" s="47"/>
      <c r="U611" s="47"/>
      <c r="V611" s="47"/>
      <c r="W611" s="47"/>
      <c r="X611" s="47"/>
      <c r="Y611" s="47"/>
      <c r="Z611" s="47"/>
    </row>
    <row r="612" spans="1:26" ht="15.75" customHeight="1">
      <c r="A612" s="47"/>
      <c r="B612" s="47"/>
      <c r="C612" s="47"/>
      <c r="D612" s="47"/>
      <c r="E612" s="47"/>
      <c r="F612" s="47"/>
      <c r="G612" s="47"/>
      <c r="H612" s="47"/>
      <c r="I612" s="47"/>
      <c r="J612" s="47"/>
      <c r="K612" s="47"/>
      <c r="L612" s="47"/>
      <c r="M612" s="47"/>
      <c r="N612" s="47"/>
      <c r="O612" s="47"/>
      <c r="P612" s="47"/>
      <c r="Q612" s="47"/>
      <c r="R612" s="47"/>
      <c r="S612" s="47"/>
      <c r="T612" s="47"/>
      <c r="U612" s="47"/>
      <c r="V612" s="47"/>
      <c r="W612" s="47"/>
      <c r="X612" s="47"/>
      <c r="Y612" s="47"/>
      <c r="Z612" s="47"/>
    </row>
    <row r="613" spans="1:26" ht="15.75" customHeight="1">
      <c r="A613" s="47"/>
      <c r="B613" s="47"/>
      <c r="C613" s="47"/>
      <c r="D613" s="47"/>
      <c r="E613" s="47"/>
      <c r="F613" s="47"/>
      <c r="G613" s="47"/>
      <c r="H613" s="47"/>
      <c r="I613" s="47"/>
      <c r="J613" s="47"/>
      <c r="K613" s="47"/>
      <c r="L613" s="47"/>
      <c r="M613" s="47"/>
      <c r="N613" s="47"/>
      <c r="O613" s="47"/>
      <c r="P613" s="47"/>
      <c r="Q613" s="47"/>
      <c r="R613" s="47"/>
      <c r="S613" s="47"/>
      <c r="T613" s="47"/>
      <c r="U613" s="47"/>
      <c r="V613" s="47"/>
      <c r="W613" s="47"/>
      <c r="X613" s="47"/>
      <c r="Y613" s="47"/>
      <c r="Z613" s="47"/>
    </row>
    <row r="614" spans="1:26" ht="15.75" customHeight="1">
      <c r="A614" s="47"/>
      <c r="B614" s="47"/>
      <c r="C614" s="47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  <c r="S614" s="47"/>
      <c r="T614" s="47"/>
      <c r="U614" s="47"/>
      <c r="V614" s="47"/>
      <c r="W614" s="47"/>
      <c r="X614" s="47"/>
      <c r="Y614" s="47"/>
      <c r="Z614" s="47"/>
    </row>
    <row r="615" spans="1:26" ht="15.75" customHeight="1">
      <c r="A615" s="47"/>
      <c r="B615" s="47"/>
      <c r="C615" s="47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  <c r="S615" s="47"/>
      <c r="T615" s="47"/>
      <c r="U615" s="47"/>
      <c r="V615" s="47"/>
      <c r="W615" s="47"/>
      <c r="X615" s="47"/>
      <c r="Y615" s="47"/>
      <c r="Z615" s="47"/>
    </row>
    <row r="616" spans="1:26" ht="15.75" customHeight="1">
      <c r="A616" s="47"/>
      <c r="B616" s="47"/>
      <c r="C616" s="47"/>
      <c r="D616" s="47"/>
      <c r="E616" s="47"/>
      <c r="F616" s="47"/>
      <c r="G616" s="47"/>
      <c r="H616" s="47"/>
      <c r="I616" s="47"/>
      <c r="J616" s="47"/>
      <c r="K616" s="47"/>
      <c r="L616" s="47"/>
      <c r="M616" s="47"/>
      <c r="N616" s="47"/>
      <c r="O616" s="47"/>
      <c r="P616" s="47"/>
      <c r="Q616" s="47"/>
      <c r="R616" s="47"/>
      <c r="S616" s="47"/>
      <c r="T616" s="47"/>
      <c r="U616" s="47"/>
      <c r="V616" s="47"/>
      <c r="W616" s="47"/>
      <c r="X616" s="47"/>
      <c r="Y616" s="47"/>
      <c r="Z616" s="47"/>
    </row>
    <row r="617" spans="1:26" ht="15.75" customHeight="1">
      <c r="A617" s="47"/>
      <c r="B617" s="47"/>
      <c r="C617" s="47"/>
      <c r="D617" s="47"/>
      <c r="E617" s="47"/>
      <c r="F617" s="47"/>
      <c r="G617" s="47"/>
      <c r="H617" s="47"/>
      <c r="I617" s="47"/>
      <c r="J617" s="47"/>
      <c r="K617" s="47"/>
      <c r="L617" s="47"/>
      <c r="M617" s="47"/>
      <c r="N617" s="47"/>
      <c r="O617" s="47"/>
      <c r="P617" s="47"/>
      <c r="Q617" s="47"/>
      <c r="R617" s="47"/>
      <c r="S617" s="47"/>
      <c r="T617" s="47"/>
      <c r="U617" s="47"/>
      <c r="V617" s="47"/>
      <c r="W617" s="47"/>
      <c r="X617" s="47"/>
      <c r="Y617" s="47"/>
      <c r="Z617" s="47"/>
    </row>
    <row r="618" spans="1:26" ht="15.75" customHeight="1">
      <c r="A618" s="47"/>
      <c r="B618" s="47"/>
      <c r="C618" s="47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  <c r="S618" s="47"/>
      <c r="T618" s="47"/>
      <c r="U618" s="47"/>
      <c r="V618" s="47"/>
      <c r="W618" s="47"/>
      <c r="X618" s="47"/>
      <c r="Y618" s="47"/>
      <c r="Z618" s="47"/>
    </row>
    <row r="619" spans="1:26" ht="15.75" customHeight="1">
      <c r="A619" s="47"/>
      <c r="B619" s="47"/>
      <c r="C619" s="47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  <c r="S619" s="47"/>
      <c r="T619" s="47"/>
      <c r="U619" s="47"/>
      <c r="V619" s="47"/>
      <c r="W619" s="47"/>
      <c r="X619" s="47"/>
      <c r="Y619" s="47"/>
      <c r="Z619" s="47"/>
    </row>
    <row r="620" spans="1:26" ht="15.75" customHeight="1">
      <c r="A620" s="47"/>
      <c r="B620" s="47"/>
      <c r="C620" s="47"/>
      <c r="D620" s="47"/>
      <c r="E620" s="47"/>
      <c r="F620" s="47"/>
      <c r="G620" s="47"/>
      <c r="H620" s="47"/>
      <c r="I620" s="47"/>
      <c r="J620" s="47"/>
      <c r="K620" s="47"/>
      <c r="L620" s="47"/>
      <c r="M620" s="47"/>
      <c r="N620" s="47"/>
      <c r="O620" s="47"/>
      <c r="P620" s="47"/>
      <c r="Q620" s="47"/>
      <c r="R620" s="47"/>
      <c r="S620" s="47"/>
      <c r="T620" s="47"/>
      <c r="U620" s="47"/>
      <c r="V620" s="47"/>
      <c r="W620" s="47"/>
      <c r="X620" s="47"/>
      <c r="Y620" s="47"/>
      <c r="Z620" s="47"/>
    </row>
    <row r="621" spans="1:26" ht="15.75" customHeight="1">
      <c r="A621" s="47"/>
      <c r="B621" s="47"/>
      <c r="C621" s="47"/>
      <c r="D621" s="47"/>
      <c r="E621" s="47"/>
      <c r="F621" s="47"/>
      <c r="G621" s="47"/>
      <c r="H621" s="47"/>
      <c r="I621" s="47"/>
      <c r="J621" s="47"/>
      <c r="K621" s="47"/>
      <c r="L621" s="47"/>
      <c r="M621" s="47"/>
      <c r="N621" s="47"/>
      <c r="O621" s="47"/>
      <c r="P621" s="47"/>
      <c r="Q621" s="47"/>
      <c r="R621" s="47"/>
      <c r="S621" s="47"/>
      <c r="T621" s="47"/>
      <c r="U621" s="47"/>
      <c r="V621" s="47"/>
      <c r="W621" s="47"/>
      <c r="X621" s="47"/>
      <c r="Y621" s="47"/>
      <c r="Z621" s="47"/>
    </row>
    <row r="622" spans="1:26" ht="15.75" customHeight="1">
      <c r="A622" s="47"/>
      <c r="B622" s="47"/>
      <c r="C622" s="47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  <c r="S622" s="47"/>
      <c r="T622" s="47"/>
      <c r="U622" s="47"/>
      <c r="V622" s="47"/>
      <c r="W622" s="47"/>
      <c r="X622" s="47"/>
      <c r="Y622" s="47"/>
      <c r="Z622" s="47"/>
    </row>
    <row r="623" spans="1:26" ht="15.75" customHeight="1">
      <c r="A623" s="47"/>
      <c r="B623" s="47"/>
      <c r="C623" s="47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  <c r="S623" s="47"/>
      <c r="T623" s="47"/>
      <c r="U623" s="47"/>
      <c r="V623" s="47"/>
      <c r="W623" s="47"/>
      <c r="X623" s="47"/>
      <c r="Y623" s="47"/>
      <c r="Z623" s="47"/>
    </row>
    <row r="624" spans="1:26" ht="15.75" customHeight="1">
      <c r="A624" s="47"/>
      <c r="B624" s="47"/>
      <c r="C624" s="47"/>
      <c r="D624" s="47"/>
      <c r="E624" s="47"/>
      <c r="F624" s="47"/>
      <c r="G624" s="47"/>
      <c r="H624" s="47"/>
      <c r="I624" s="47"/>
      <c r="J624" s="47"/>
      <c r="K624" s="47"/>
      <c r="L624" s="47"/>
      <c r="M624" s="47"/>
      <c r="N624" s="47"/>
      <c r="O624" s="47"/>
      <c r="P624" s="47"/>
      <c r="Q624" s="47"/>
      <c r="R624" s="47"/>
      <c r="S624" s="47"/>
      <c r="T624" s="47"/>
      <c r="U624" s="47"/>
      <c r="V624" s="47"/>
      <c r="W624" s="47"/>
      <c r="X624" s="47"/>
      <c r="Y624" s="47"/>
      <c r="Z624" s="47"/>
    </row>
    <row r="625" spans="1:26" ht="15.75" customHeight="1">
      <c r="A625" s="47"/>
      <c r="B625" s="47"/>
      <c r="C625" s="47"/>
      <c r="D625" s="47"/>
      <c r="E625" s="47"/>
      <c r="F625" s="47"/>
      <c r="G625" s="47"/>
      <c r="H625" s="47"/>
      <c r="I625" s="47"/>
      <c r="J625" s="47"/>
      <c r="K625" s="47"/>
      <c r="L625" s="47"/>
      <c r="M625" s="47"/>
      <c r="N625" s="47"/>
      <c r="O625" s="47"/>
      <c r="P625" s="47"/>
      <c r="Q625" s="47"/>
      <c r="R625" s="47"/>
      <c r="S625" s="47"/>
      <c r="T625" s="47"/>
      <c r="U625" s="47"/>
      <c r="V625" s="47"/>
      <c r="W625" s="47"/>
      <c r="X625" s="47"/>
      <c r="Y625" s="47"/>
      <c r="Z625" s="47"/>
    </row>
    <row r="626" spans="1:26" ht="15.75" customHeight="1">
      <c r="A626" s="47"/>
      <c r="B626" s="47"/>
      <c r="C626" s="47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  <c r="S626" s="47"/>
      <c r="T626" s="47"/>
      <c r="U626" s="47"/>
      <c r="V626" s="47"/>
      <c r="W626" s="47"/>
      <c r="X626" s="47"/>
      <c r="Y626" s="47"/>
      <c r="Z626" s="47"/>
    </row>
    <row r="627" spans="1:26" ht="15.75" customHeight="1">
      <c r="A627" s="47"/>
      <c r="B627" s="47"/>
      <c r="C627" s="47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  <c r="S627" s="47"/>
      <c r="T627" s="47"/>
      <c r="U627" s="47"/>
      <c r="V627" s="47"/>
      <c r="W627" s="47"/>
      <c r="X627" s="47"/>
      <c r="Y627" s="47"/>
      <c r="Z627" s="47"/>
    </row>
    <row r="628" spans="1:26" ht="15.75" customHeight="1">
      <c r="A628" s="47"/>
      <c r="B628" s="47"/>
      <c r="C628" s="47"/>
      <c r="D628" s="47"/>
      <c r="E628" s="47"/>
      <c r="F628" s="47"/>
      <c r="G628" s="47"/>
      <c r="H628" s="47"/>
      <c r="I628" s="47"/>
      <c r="J628" s="47"/>
      <c r="K628" s="47"/>
      <c r="L628" s="47"/>
      <c r="M628" s="47"/>
      <c r="N628" s="47"/>
      <c r="O628" s="47"/>
      <c r="P628" s="47"/>
      <c r="Q628" s="47"/>
      <c r="R628" s="47"/>
      <c r="S628" s="47"/>
      <c r="T628" s="47"/>
      <c r="U628" s="47"/>
      <c r="V628" s="47"/>
      <c r="W628" s="47"/>
      <c r="X628" s="47"/>
      <c r="Y628" s="47"/>
      <c r="Z628" s="47"/>
    </row>
    <row r="629" spans="1:26" ht="15.75" customHeight="1">
      <c r="A629" s="47"/>
      <c r="B629" s="47"/>
      <c r="C629" s="47"/>
      <c r="D629" s="47"/>
      <c r="E629" s="47"/>
      <c r="F629" s="47"/>
      <c r="G629" s="47"/>
      <c r="H629" s="47"/>
      <c r="I629" s="47"/>
      <c r="J629" s="47"/>
      <c r="K629" s="47"/>
      <c r="L629" s="47"/>
      <c r="M629" s="47"/>
      <c r="N629" s="47"/>
      <c r="O629" s="47"/>
      <c r="P629" s="47"/>
      <c r="Q629" s="47"/>
      <c r="R629" s="47"/>
      <c r="S629" s="47"/>
      <c r="T629" s="47"/>
      <c r="U629" s="47"/>
      <c r="V629" s="47"/>
      <c r="W629" s="47"/>
      <c r="X629" s="47"/>
      <c r="Y629" s="47"/>
      <c r="Z629" s="47"/>
    </row>
    <row r="630" spans="1:26" ht="15.75" customHeight="1">
      <c r="A630" s="47"/>
      <c r="B630" s="47"/>
      <c r="C630" s="47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  <c r="S630" s="47"/>
      <c r="T630" s="47"/>
      <c r="U630" s="47"/>
      <c r="V630" s="47"/>
      <c r="W630" s="47"/>
      <c r="X630" s="47"/>
      <c r="Y630" s="47"/>
      <c r="Z630" s="47"/>
    </row>
    <row r="631" spans="1:26" ht="15.75" customHeight="1">
      <c r="A631" s="47"/>
      <c r="B631" s="47"/>
      <c r="C631" s="47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  <c r="S631" s="47"/>
      <c r="T631" s="47"/>
      <c r="U631" s="47"/>
      <c r="V631" s="47"/>
      <c r="W631" s="47"/>
      <c r="X631" s="47"/>
      <c r="Y631" s="47"/>
      <c r="Z631" s="47"/>
    </row>
    <row r="632" spans="1:26" ht="15.75" customHeight="1">
      <c r="A632" s="47"/>
      <c r="B632" s="47"/>
      <c r="C632" s="47"/>
      <c r="D632" s="47"/>
      <c r="E632" s="47"/>
      <c r="F632" s="47"/>
      <c r="G632" s="47"/>
      <c r="H632" s="47"/>
      <c r="I632" s="47"/>
      <c r="J632" s="47"/>
      <c r="K632" s="47"/>
      <c r="L632" s="47"/>
      <c r="M632" s="47"/>
      <c r="N632" s="47"/>
      <c r="O632" s="47"/>
      <c r="P632" s="47"/>
      <c r="Q632" s="47"/>
      <c r="R632" s="47"/>
      <c r="S632" s="47"/>
      <c r="T632" s="47"/>
      <c r="U632" s="47"/>
      <c r="V632" s="47"/>
      <c r="W632" s="47"/>
      <c r="X632" s="47"/>
      <c r="Y632" s="47"/>
      <c r="Z632" s="47"/>
    </row>
    <row r="633" spans="1:26" ht="15.75" customHeight="1">
      <c r="A633" s="47"/>
      <c r="B633" s="47"/>
      <c r="C633" s="47"/>
      <c r="D633" s="47"/>
      <c r="E633" s="47"/>
      <c r="F633" s="47"/>
      <c r="G633" s="47"/>
      <c r="H633" s="47"/>
      <c r="I633" s="47"/>
      <c r="J633" s="47"/>
      <c r="K633" s="47"/>
      <c r="L633" s="47"/>
      <c r="M633" s="47"/>
      <c r="N633" s="47"/>
      <c r="O633" s="47"/>
      <c r="P633" s="47"/>
      <c r="Q633" s="47"/>
      <c r="R633" s="47"/>
      <c r="S633" s="47"/>
      <c r="T633" s="47"/>
      <c r="U633" s="47"/>
      <c r="V633" s="47"/>
      <c r="W633" s="47"/>
      <c r="X633" s="47"/>
      <c r="Y633" s="47"/>
      <c r="Z633" s="47"/>
    </row>
    <row r="634" spans="1:26" ht="15.75" customHeight="1">
      <c r="A634" s="47"/>
      <c r="B634" s="47"/>
      <c r="C634" s="47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  <c r="S634" s="47"/>
      <c r="T634" s="47"/>
      <c r="U634" s="47"/>
      <c r="V634" s="47"/>
      <c r="W634" s="47"/>
      <c r="X634" s="47"/>
      <c r="Y634" s="47"/>
      <c r="Z634" s="47"/>
    </row>
    <row r="635" spans="1:26" ht="15.75" customHeight="1">
      <c r="A635" s="47"/>
      <c r="B635" s="47"/>
      <c r="C635" s="47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  <c r="S635" s="47"/>
      <c r="T635" s="47"/>
      <c r="U635" s="47"/>
      <c r="V635" s="47"/>
      <c r="W635" s="47"/>
      <c r="X635" s="47"/>
      <c r="Y635" s="47"/>
      <c r="Z635" s="47"/>
    </row>
    <row r="636" spans="1:26" ht="15.75" customHeight="1">
      <c r="A636" s="47"/>
      <c r="B636" s="47"/>
      <c r="C636" s="47"/>
      <c r="D636" s="47"/>
      <c r="E636" s="47"/>
      <c r="F636" s="47"/>
      <c r="G636" s="47"/>
      <c r="H636" s="47"/>
      <c r="I636" s="47"/>
      <c r="J636" s="47"/>
      <c r="K636" s="47"/>
      <c r="L636" s="47"/>
      <c r="M636" s="47"/>
      <c r="N636" s="47"/>
      <c r="O636" s="47"/>
      <c r="P636" s="47"/>
      <c r="Q636" s="47"/>
      <c r="R636" s="47"/>
      <c r="S636" s="47"/>
      <c r="T636" s="47"/>
      <c r="U636" s="47"/>
      <c r="V636" s="47"/>
      <c r="W636" s="47"/>
      <c r="X636" s="47"/>
      <c r="Y636" s="47"/>
      <c r="Z636" s="47"/>
    </row>
    <row r="637" spans="1:26" ht="15.75" customHeight="1">
      <c r="A637" s="47"/>
      <c r="B637" s="47"/>
      <c r="C637" s="47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  <c r="S637" s="47"/>
      <c r="T637" s="47"/>
      <c r="U637" s="47"/>
      <c r="V637" s="47"/>
      <c r="W637" s="47"/>
      <c r="X637" s="47"/>
      <c r="Y637" s="47"/>
      <c r="Z637" s="47"/>
    </row>
    <row r="638" spans="1:26" ht="15.75" customHeight="1">
      <c r="A638" s="47"/>
      <c r="B638" s="47"/>
      <c r="C638" s="47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  <c r="S638" s="47"/>
      <c r="T638" s="47"/>
      <c r="U638" s="47"/>
      <c r="V638" s="47"/>
      <c r="W638" s="47"/>
      <c r="X638" s="47"/>
      <c r="Y638" s="47"/>
      <c r="Z638" s="47"/>
    </row>
    <row r="639" spans="1:26" ht="15.75" customHeight="1">
      <c r="A639" s="47"/>
      <c r="B639" s="47"/>
      <c r="C639" s="47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  <c r="S639" s="47"/>
      <c r="T639" s="47"/>
      <c r="U639" s="47"/>
      <c r="V639" s="47"/>
      <c r="W639" s="47"/>
      <c r="X639" s="47"/>
      <c r="Y639" s="47"/>
      <c r="Z639" s="47"/>
    </row>
    <row r="640" spans="1:26" ht="15.75" customHeight="1">
      <c r="A640" s="47"/>
      <c r="B640" s="47"/>
      <c r="C640" s="47"/>
      <c r="D640" s="47"/>
      <c r="E640" s="47"/>
      <c r="F640" s="47"/>
      <c r="G640" s="47"/>
      <c r="H640" s="47"/>
      <c r="I640" s="47"/>
      <c r="J640" s="47"/>
      <c r="K640" s="47"/>
      <c r="L640" s="47"/>
      <c r="M640" s="47"/>
      <c r="N640" s="47"/>
      <c r="O640" s="47"/>
      <c r="P640" s="47"/>
      <c r="Q640" s="47"/>
      <c r="R640" s="47"/>
      <c r="S640" s="47"/>
      <c r="T640" s="47"/>
      <c r="U640" s="47"/>
      <c r="V640" s="47"/>
      <c r="W640" s="47"/>
      <c r="X640" s="47"/>
      <c r="Y640" s="47"/>
      <c r="Z640" s="47"/>
    </row>
    <row r="641" spans="1:26" ht="15.75" customHeight="1">
      <c r="A641" s="47"/>
      <c r="B641" s="47"/>
      <c r="C641" s="47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  <c r="S641" s="47"/>
      <c r="T641" s="47"/>
      <c r="U641" s="47"/>
      <c r="V641" s="47"/>
      <c r="W641" s="47"/>
      <c r="X641" s="47"/>
      <c r="Y641" s="47"/>
      <c r="Z641" s="47"/>
    </row>
    <row r="642" spans="1:26" ht="15.75" customHeight="1">
      <c r="A642" s="47"/>
      <c r="B642" s="47"/>
      <c r="C642" s="47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  <c r="S642" s="47"/>
      <c r="T642" s="47"/>
      <c r="U642" s="47"/>
      <c r="V642" s="47"/>
      <c r="W642" s="47"/>
      <c r="X642" s="47"/>
      <c r="Y642" s="47"/>
      <c r="Z642" s="47"/>
    </row>
    <row r="643" spans="1:26" ht="15.75" customHeight="1">
      <c r="A643" s="47"/>
      <c r="B643" s="47"/>
      <c r="C643" s="47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  <c r="S643" s="47"/>
      <c r="T643" s="47"/>
      <c r="U643" s="47"/>
      <c r="V643" s="47"/>
      <c r="W643" s="47"/>
      <c r="X643" s="47"/>
      <c r="Y643" s="47"/>
      <c r="Z643" s="47"/>
    </row>
    <row r="644" spans="1:26" ht="15.75" customHeight="1">
      <c r="A644" s="47"/>
      <c r="B644" s="47"/>
      <c r="C644" s="47"/>
      <c r="D644" s="47"/>
      <c r="E644" s="47"/>
      <c r="F644" s="47"/>
      <c r="G644" s="47"/>
      <c r="H644" s="47"/>
      <c r="I644" s="47"/>
      <c r="J644" s="47"/>
      <c r="K644" s="47"/>
      <c r="L644" s="47"/>
      <c r="M644" s="47"/>
      <c r="N644" s="47"/>
      <c r="O644" s="47"/>
      <c r="P644" s="47"/>
      <c r="Q644" s="47"/>
      <c r="R644" s="47"/>
      <c r="S644" s="47"/>
      <c r="T644" s="47"/>
      <c r="U644" s="47"/>
      <c r="V644" s="47"/>
      <c r="W644" s="47"/>
      <c r="X644" s="47"/>
      <c r="Y644" s="47"/>
      <c r="Z644" s="47"/>
    </row>
    <row r="645" spans="1:26" ht="15.75" customHeight="1">
      <c r="A645" s="47"/>
      <c r="B645" s="47"/>
      <c r="C645" s="47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  <c r="S645" s="47"/>
      <c r="T645" s="47"/>
      <c r="U645" s="47"/>
      <c r="V645" s="47"/>
      <c r="W645" s="47"/>
      <c r="X645" s="47"/>
      <c r="Y645" s="47"/>
      <c r="Z645" s="47"/>
    </row>
    <row r="646" spans="1:26" ht="15.75" customHeight="1">
      <c r="A646" s="47"/>
      <c r="B646" s="47"/>
      <c r="C646" s="47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  <c r="S646" s="47"/>
      <c r="T646" s="47"/>
      <c r="U646" s="47"/>
      <c r="V646" s="47"/>
      <c r="W646" s="47"/>
      <c r="X646" s="47"/>
      <c r="Y646" s="47"/>
      <c r="Z646" s="47"/>
    </row>
    <row r="647" spans="1:26" ht="15.75" customHeight="1">
      <c r="A647" s="47"/>
      <c r="B647" s="47"/>
      <c r="C647" s="47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  <c r="S647" s="47"/>
      <c r="T647" s="47"/>
      <c r="U647" s="47"/>
      <c r="V647" s="47"/>
      <c r="W647" s="47"/>
      <c r="X647" s="47"/>
      <c r="Y647" s="47"/>
      <c r="Z647" s="47"/>
    </row>
    <row r="648" spans="1:26" ht="15.75" customHeight="1">
      <c r="A648" s="47"/>
      <c r="B648" s="47"/>
      <c r="C648" s="47"/>
      <c r="D648" s="47"/>
      <c r="E648" s="47"/>
      <c r="F648" s="47"/>
      <c r="G648" s="47"/>
      <c r="H648" s="47"/>
      <c r="I648" s="47"/>
      <c r="J648" s="47"/>
      <c r="K648" s="47"/>
      <c r="L648" s="47"/>
      <c r="M648" s="47"/>
      <c r="N648" s="47"/>
      <c r="O648" s="47"/>
      <c r="P648" s="47"/>
      <c r="Q648" s="47"/>
      <c r="R648" s="47"/>
      <c r="S648" s="47"/>
      <c r="T648" s="47"/>
      <c r="U648" s="47"/>
      <c r="V648" s="47"/>
      <c r="W648" s="47"/>
      <c r="X648" s="47"/>
      <c r="Y648" s="47"/>
      <c r="Z648" s="47"/>
    </row>
    <row r="649" spans="1:26" ht="15.75" customHeight="1">
      <c r="A649" s="47"/>
      <c r="B649" s="47"/>
      <c r="C649" s="47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  <c r="S649" s="47"/>
      <c r="T649" s="47"/>
      <c r="U649" s="47"/>
      <c r="V649" s="47"/>
      <c r="W649" s="47"/>
      <c r="X649" s="47"/>
      <c r="Y649" s="47"/>
      <c r="Z649" s="47"/>
    </row>
    <row r="650" spans="1:26" ht="15.75" customHeight="1">
      <c r="A650" s="47"/>
      <c r="B650" s="47"/>
      <c r="C650" s="47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  <c r="S650" s="47"/>
      <c r="T650" s="47"/>
      <c r="U650" s="47"/>
      <c r="V650" s="47"/>
      <c r="W650" s="47"/>
      <c r="X650" s="47"/>
      <c r="Y650" s="47"/>
      <c r="Z650" s="47"/>
    </row>
    <row r="651" spans="1:26" ht="15.75" customHeight="1">
      <c r="A651" s="47"/>
      <c r="B651" s="47"/>
      <c r="C651" s="47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  <c r="S651" s="47"/>
      <c r="T651" s="47"/>
      <c r="U651" s="47"/>
      <c r="V651" s="47"/>
      <c r="W651" s="47"/>
      <c r="X651" s="47"/>
      <c r="Y651" s="47"/>
      <c r="Z651" s="47"/>
    </row>
    <row r="652" spans="1:26" ht="15.75" customHeight="1">
      <c r="A652" s="47"/>
      <c r="B652" s="47"/>
      <c r="C652" s="47"/>
      <c r="D652" s="47"/>
      <c r="E652" s="47"/>
      <c r="F652" s="47"/>
      <c r="G652" s="47"/>
      <c r="H652" s="47"/>
      <c r="I652" s="47"/>
      <c r="J652" s="47"/>
      <c r="K652" s="47"/>
      <c r="L652" s="47"/>
      <c r="M652" s="47"/>
      <c r="N652" s="47"/>
      <c r="O652" s="47"/>
      <c r="P652" s="47"/>
      <c r="Q652" s="47"/>
      <c r="R652" s="47"/>
      <c r="S652" s="47"/>
      <c r="T652" s="47"/>
      <c r="U652" s="47"/>
      <c r="V652" s="47"/>
      <c r="W652" s="47"/>
      <c r="X652" s="47"/>
      <c r="Y652" s="47"/>
      <c r="Z652" s="47"/>
    </row>
    <row r="653" spans="1:26" ht="15.75" customHeight="1">
      <c r="A653" s="47"/>
      <c r="B653" s="47"/>
      <c r="C653" s="47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  <c r="S653" s="47"/>
      <c r="T653" s="47"/>
      <c r="U653" s="47"/>
      <c r="V653" s="47"/>
      <c r="W653" s="47"/>
      <c r="X653" s="47"/>
      <c r="Y653" s="47"/>
      <c r="Z653" s="47"/>
    </row>
    <row r="654" spans="1:26" ht="15.75" customHeight="1">
      <c r="A654" s="47"/>
      <c r="B654" s="47"/>
      <c r="C654" s="47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  <c r="S654" s="47"/>
      <c r="T654" s="47"/>
      <c r="U654" s="47"/>
      <c r="V654" s="47"/>
      <c r="W654" s="47"/>
      <c r="X654" s="47"/>
      <c r="Y654" s="47"/>
      <c r="Z654" s="47"/>
    </row>
    <row r="655" spans="1:26" ht="15.75" customHeight="1">
      <c r="A655" s="47"/>
      <c r="B655" s="47"/>
      <c r="C655" s="47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  <c r="S655" s="47"/>
      <c r="T655" s="47"/>
      <c r="U655" s="47"/>
      <c r="V655" s="47"/>
      <c r="W655" s="47"/>
      <c r="X655" s="47"/>
      <c r="Y655" s="47"/>
      <c r="Z655" s="47"/>
    </row>
    <row r="656" spans="1:26" ht="15.75" customHeight="1">
      <c r="A656" s="47"/>
      <c r="B656" s="47"/>
      <c r="C656" s="47"/>
      <c r="D656" s="47"/>
      <c r="E656" s="47"/>
      <c r="F656" s="47"/>
      <c r="G656" s="47"/>
      <c r="H656" s="47"/>
      <c r="I656" s="47"/>
      <c r="J656" s="47"/>
      <c r="K656" s="47"/>
      <c r="L656" s="47"/>
      <c r="M656" s="47"/>
      <c r="N656" s="47"/>
      <c r="O656" s="47"/>
      <c r="P656" s="47"/>
      <c r="Q656" s="47"/>
      <c r="R656" s="47"/>
      <c r="S656" s="47"/>
      <c r="T656" s="47"/>
      <c r="U656" s="47"/>
      <c r="V656" s="47"/>
      <c r="W656" s="47"/>
      <c r="X656" s="47"/>
      <c r="Y656" s="47"/>
      <c r="Z656" s="47"/>
    </row>
    <row r="657" spans="1:26" ht="15.75" customHeight="1">
      <c r="A657" s="47"/>
      <c r="B657" s="47"/>
      <c r="C657" s="47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  <c r="S657" s="47"/>
      <c r="T657" s="47"/>
      <c r="U657" s="47"/>
      <c r="V657" s="47"/>
      <c r="W657" s="47"/>
      <c r="X657" s="47"/>
      <c r="Y657" s="47"/>
      <c r="Z657" s="47"/>
    </row>
    <row r="658" spans="1:26" ht="15.75" customHeight="1">
      <c r="A658" s="47"/>
      <c r="B658" s="47"/>
      <c r="C658" s="47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  <c r="S658" s="47"/>
      <c r="T658" s="47"/>
      <c r="U658" s="47"/>
      <c r="V658" s="47"/>
      <c r="W658" s="47"/>
      <c r="X658" s="47"/>
      <c r="Y658" s="47"/>
      <c r="Z658" s="47"/>
    </row>
    <row r="659" spans="1:26" ht="15.75" customHeight="1">
      <c r="A659" s="47"/>
      <c r="B659" s="47"/>
      <c r="C659" s="47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  <c r="S659" s="47"/>
      <c r="T659" s="47"/>
      <c r="U659" s="47"/>
      <c r="V659" s="47"/>
      <c r="W659" s="47"/>
      <c r="X659" s="47"/>
      <c r="Y659" s="47"/>
      <c r="Z659" s="47"/>
    </row>
    <row r="660" spans="1:26" ht="15.75" customHeight="1">
      <c r="A660" s="47"/>
      <c r="B660" s="47"/>
      <c r="C660" s="47"/>
      <c r="D660" s="47"/>
      <c r="E660" s="47"/>
      <c r="F660" s="47"/>
      <c r="G660" s="47"/>
      <c r="H660" s="47"/>
      <c r="I660" s="47"/>
      <c r="J660" s="47"/>
      <c r="K660" s="47"/>
      <c r="L660" s="47"/>
      <c r="M660" s="47"/>
      <c r="N660" s="47"/>
      <c r="O660" s="47"/>
      <c r="P660" s="47"/>
      <c r="Q660" s="47"/>
      <c r="R660" s="47"/>
      <c r="S660" s="47"/>
      <c r="T660" s="47"/>
      <c r="U660" s="47"/>
      <c r="V660" s="47"/>
      <c r="W660" s="47"/>
      <c r="X660" s="47"/>
      <c r="Y660" s="47"/>
      <c r="Z660" s="47"/>
    </row>
    <row r="661" spans="1:26" ht="15.75" customHeight="1">
      <c r="A661" s="47"/>
      <c r="B661" s="47"/>
      <c r="C661" s="47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  <c r="S661" s="47"/>
      <c r="T661" s="47"/>
      <c r="U661" s="47"/>
      <c r="V661" s="47"/>
      <c r="W661" s="47"/>
      <c r="X661" s="47"/>
      <c r="Y661" s="47"/>
      <c r="Z661" s="47"/>
    </row>
    <row r="662" spans="1:26" ht="15.75" customHeight="1">
      <c r="A662" s="47"/>
      <c r="B662" s="47"/>
      <c r="C662" s="47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  <c r="S662" s="47"/>
      <c r="T662" s="47"/>
      <c r="U662" s="47"/>
      <c r="V662" s="47"/>
      <c r="W662" s="47"/>
      <c r="X662" s="47"/>
      <c r="Y662" s="47"/>
      <c r="Z662" s="47"/>
    </row>
    <row r="663" spans="1:26" ht="15.75" customHeight="1">
      <c r="A663" s="47"/>
      <c r="B663" s="47"/>
      <c r="C663" s="47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  <c r="S663" s="47"/>
      <c r="T663" s="47"/>
      <c r="U663" s="47"/>
      <c r="V663" s="47"/>
      <c r="W663" s="47"/>
      <c r="X663" s="47"/>
      <c r="Y663" s="47"/>
      <c r="Z663" s="47"/>
    </row>
    <row r="664" spans="1:26" ht="15.75" customHeight="1">
      <c r="A664" s="47"/>
      <c r="B664" s="47"/>
      <c r="C664" s="47"/>
      <c r="D664" s="47"/>
      <c r="E664" s="47"/>
      <c r="F664" s="47"/>
      <c r="G664" s="47"/>
      <c r="H664" s="47"/>
      <c r="I664" s="47"/>
      <c r="J664" s="47"/>
      <c r="K664" s="47"/>
      <c r="L664" s="47"/>
      <c r="M664" s="47"/>
      <c r="N664" s="47"/>
      <c r="O664" s="47"/>
      <c r="P664" s="47"/>
      <c r="Q664" s="47"/>
      <c r="R664" s="47"/>
      <c r="S664" s="47"/>
      <c r="T664" s="47"/>
      <c r="U664" s="47"/>
      <c r="V664" s="47"/>
      <c r="W664" s="47"/>
      <c r="X664" s="47"/>
      <c r="Y664" s="47"/>
      <c r="Z664" s="47"/>
    </row>
    <row r="665" spans="1:26" ht="15.75" customHeight="1">
      <c r="A665" s="47"/>
      <c r="B665" s="47"/>
      <c r="C665" s="47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  <c r="S665" s="47"/>
      <c r="T665" s="47"/>
      <c r="U665" s="47"/>
      <c r="V665" s="47"/>
      <c r="W665" s="47"/>
      <c r="X665" s="47"/>
      <c r="Y665" s="47"/>
      <c r="Z665" s="47"/>
    </row>
    <row r="666" spans="1:26" ht="15.75" customHeight="1">
      <c r="A666" s="47"/>
      <c r="B666" s="47"/>
      <c r="C666" s="47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  <c r="S666" s="47"/>
      <c r="T666" s="47"/>
      <c r="U666" s="47"/>
      <c r="V666" s="47"/>
      <c r="W666" s="47"/>
      <c r="X666" s="47"/>
      <c r="Y666" s="47"/>
      <c r="Z666" s="47"/>
    </row>
    <row r="667" spans="1:26" ht="15.75" customHeight="1">
      <c r="A667" s="47"/>
      <c r="B667" s="47"/>
      <c r="C667" s="47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  <c r="S667" s="47"/>
      <c r="T667" s="47"/>
      <c r="U667" s="47"/>
      <c r="V667" s="47"/>
      <c r="W667" s="47"/>
      <c r="X667" s="47"/>
      <c r="Y667" s="47"/>
      <c r="Z667" s="47"/>
    </row>
    <row r="668" spans="1:26" ht="15.75" customHeight="1">
      <c r="A668" s="47"/>
      <c r="B668" s="47"/>
      <c r="C668" s="47"/>
      <c r="D668" s="47"/>
      <c r="E668" s="47"/>
      <c r="F668" s="47"/>
      <c r="G668" s="47"/>
      <c r="H668" s="47"/>
      <c r="I668" s="47"/>
      <c r="J668" s="47"/>
      <c r="K668" s="47"/>
      <c r="L668" s="47"/>
      <c r="M668" s="47"/>
      <c r="N668" s="47"/>
      <c r="O668" s="47"/>
      <c r="P668" s="47"/>
      <c r="Q668" s="47"/>
      <c r="R668" s="47"/>
      <c r="S668" s="47"/>
      <c r="T668" s="47"/>
      <c r="U668" s="47"/>
      <c r="V668" s="47"/>
      <c r="W668" s="47"/>
      <c r="X668" s="47"/>
      <c r="Y668" s="47"/>
      <c r="Z668" s="47"/>
    </row>
    <row r="669" spans="1:26" ht="15.75" customHeight="1">
      <c r="A669" s="47"/>
      <c r="B669" s="47"/>
      <c r="C669" s="47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  <c r="S669" s="47"/>
      <c r="T669" s="47"/>
      <c r="U669" s="47"/>
      <c r="V669" s="47"/>
      <c r="W669" s="47"/>
      <c r="X669" s="47"/>
      <c r="Y669" s="47"/>
      <c r="Z669" s="47"/>
    </row>
    <row r="670" spans="1:26" ht="15.75" customHeight="1">
      <c r="A670" s="47"/>
      <c r="B670" s="47"/>
      <c r="C670" s="47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  <c r="S670" s="47"/>
      <c r="T670" s="47"/>
      <c r="U670" s="47"/>
      <c r="V670" s="47"/>
      <c r="W670" s="47"/>
      <c r="X670" s="47"/>
      <c r="Y670" s="47"/>
      <c r="Z670" s="47"/>
    </row>
    <row r="671" spans="1:26" ht="15.75" customHeight="1">
      <c r="A671" s="47"/>
      <c r="B671" s="47"/>
      <c r="C671" s="47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  <c r="S671" s="47"/>
      <c r="T671" s="47"/>
      <c r="U671" s="47"/>
      <c r="V671" s="47"/>
      <c r="W671" s="47"/>
      <c r="X671" s="47"/>
      <c r="Y671" s="47"/>
      <c r="Z671" s="47"/>
    </row>
    <row r="672" spans="1:26" ht="15.75" customHeight="1">
      <c r="A672" s="47"/>
      <c r="B672" s="47"/>
      <c r="C672" s="47"/>
      <c r="D672" s="47"/>
      <c r="E672" s="47"/>
      <c r="F672" s="47"/>
      <c r="G672" s="47"/>
      <c r="H672" s="47"/>
      <c r="I672" s="47"/>
      <c r="J672" s="47"/>
      <c r="K672" s="47"/>
      <c r="L672" s="47"/>
      <c r="M672" s="47"/>
      <c r="N672" s="47"/>
      <c r="O672" s="47"/>
      <c r="P672" s="47"/>
      <c r="Q672" s="47"/>
      <c r="R672" s="47"/>
      <c r="S672" s="47"/>
      <c r="T672" s="47"/>
      <c r="U672" s="47"/>
      <c r="V672" s="47"/>
      <c r="W672" s="47"/>
      <c r="X672" s="47"/>
      <c r="Y672" s="47"/>
      <c r="Z672" s="47"/>
    </row>
    <row r="673" spans="1:26" ht="15.75" customHeight="1">
      <c r="A673" s="47"/>
      <c r="B673" s="47"/>
      <c r="C673" s="47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  <c r="S673" s="47"/>
      <c r="T673" s="47"/>
      <c r="U673" s="47"/>
      <c r="V673" s="47"/>
      <c r="W673" s="47"/>
      <c r="X673" s="47"/>
      <c r="Y673" s="47"/>
      <c r="Z673" s="47"/>
    </row>
    <row r="674" spans="1:26" ht="15.75" customHeight="1">
      <c r="A674" s="47"/>
      <c r="B674" s="47"/>
      <c r="C674" s="47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  <c r="S674" s="47"/>
      <c r="T674" s="47"/>
      <c r="U674" s="47"/>
      <c r="V674" s="47"/>
      <c r="W674" s="47"/>
      <c r="X674" s="47"/>
      <c r="Y674" s="47"/>
      <c r="Z674" s="47"/>
    </row>
    <row r="675" spans="1:26" ht="15.75" customHeight="1">
      <c r="A675" s="47"/>
      <c r="B675" s="47"/>
      <c r="C675" s="47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  <c r="S675" s="47"/>
      <c r="T675" s="47"/>
      <c r="U675" s="47"/>
      <c r="V675" s="47"/>
      <c r="W675" s="47"/>
      <c r="X675" s="47"/>
      <c r="Y675" s="47"/>
      <c r="Z675" s="47"/>
    </row>
    <row r="676" spans="1:26" ht="15.75" customHeight="1">
      <c r="A676" s="47"/>
      <c r="B676" s="47"/>
      <c r="C676" s="47"/>
      <c r="D676" s="47"/>
      <c r="E676" s="47"/>
      <c r="F676" s="47"/>
      <c r="G676" s="47"/>
      <c r="H676" s="47"/>
      <c r="I676" s="47"/>
      <c r="J676" s="47"/>
      <c r="K676" s="47"/>
      <c r="L676" s="47"/>
      <c r="M676" s="47"/>
      <c r="N676" s="47"/>
      <c r="O676" s="47"/>
      <c r="P676" s="47"/>
      <c r="Q676" s="47"/>
      <c r="R676" s="47"/>
      <c r="S676" s="47"/>
      <c r="T676" s="47"/>
      <c r="U676" s="47"/>
      <c r="V676" s="47"/>
      <c r="W676" s="47"/>
      <c r="X676" s="47"/>
      <c r="Y676" s="47"/>
      <c r="Z676" s="47"/>
    </row>
    <row r="677" spans="1:26" ht="15.75" customHeight="1">
      <c r="A677" s="47"/>
      <c r="B677" s="47"/>
      <c r="C677" s="47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  <c r="S677" s="47"/>
      <c r="T677" s="47"/>
      <c r="U677" s="47"/>
      <c r="V677" s="47"/>
      <c r="W677" s="47"/>
      <c r="X677" s="47"/>
      <c r="Y677" s="47"/>
      <c r="Z677" s="47"/>
    </row>
    <row r="678" spans="1:26" ht="15.75" customHeight="1">
      <c r="A678" s="47"/>
      <c r="B678" s="47"/>
      <c r="C678" s="47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  <c r="S678" s="47"/>
      <c r="T678" s="47"/>
      <c r="U678" s="47"/>
      <c r="V678" s="47"/>
      <c r="W678" s="47"/>
      <c r="X678" s="47"/>
      <c r="Y678" s="47"/>
      <c r="Z678" s="47"/>
    </row>
    <row r="679" spans="1:26" ht="15.75" customHeight="1">
      <c r="A679" s="47"/>
      <c r="B679" s="47"/>
      <c r="C679" s="47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  <c r="S679" s="47"/>
      <c r="T679" s="47"/>
      <c r="U679" s="47"/>
      <c r="V679" s="47"/>
      <c r="W679" s="47"/>
      <c r="X679" s="47"/>
      <c r="Y679" s="47"/>
      <c r="Z679" s="47"/>
    </row>
    <row r="680" spans="1:26" ht="15.75" customHeight="1">
      <c r="A680" s="47"/>
      <c r="B680" s="47"/>
      <c r="C680" s="47"/>
      <c r="D680" s="47"/>
      <c r="E680" s="47"/>
      <c r="F680" s="47"/>
      <c r="G680" s="47"/>
      <c r="H680" s="47"/>
      <c r="I680" s="47"/>
      <c r="J680" s="47"/>
      <c r="K680" s="47"/>
      <c r="L680" s="47"/>
      <c r="M680" s="47"/>
      <c r="N680" s="47"/>
      <c r="O680" s="47"/>
      <c r="P680" s="47"/>
      <c r="Q680" s="47"/>
      <c r="R680" s="47"/>
      <c r="S680" s="47"/>
      <c r="T680" s="47"/>
      <c r="U680" s="47"/>
      <c r="V680" s="47"/>
      <c r="W680" s="47"/>
      <c r="X680" s="47"/>
      <c r="Y680" s="47"/>
      <c r="Z680" s="47"/>
    </row>
    <row r="681" spans="1:26" ht="15.75" customHeight="1">
      <c r="A681" s="47"/>
      <c r="B681" s="47"/>
      <c r="C681" s="47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  <c r="S681" s="47"/>
      <c r="T681" s="47"/>
      <c r="U681" s="47"/>
      <c r="V681" s="47"/>
      <c r="W681" s="47"/>
      <c r="X681" s="47"/>
      <c r="Y681" s="47"/>
      <c r="Z681" s="47"/>
    </row>
    <row r="682" spans="1:26" ht="15.75" customHeight="1">
      <c r="A682" s="47"/>
      <c r="B682" s="47"/>
      <c r="C682" s="47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  <c r="S682" s="47"/>
      <c r="T682" s="47"/>
      <c r="U682" s="47"/>
      <c r="V682" s="47"/>
      <c r="W682" s="47"/>
      <c r="X682" s="47"/>
      <c r="Y682" s="47"/>
      <c r="Z682" s="47"/>
    </row>
    <row r="683" spans="1:26" ht="15.75" customHeight="1">
      <c r="A683" s="47"/>
      <c r="B683" s="47"/>
      <c r="C683" s="47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  <c r="S683" s="47"/>
      <c r="T683" s="47"/>
      <c r="U683" s="47"/>
      <c r="V683" s="47"/>
      <c r="W683" s="47"/>
      <c r="X683" s="47"/>
      <c r="Y683" s="47"/>
      <c r="Z683" s="47"/>
    </row>
    <row r="684" spans="1:26" ht="15.75" customHeight="1">
      <c r="A684" s="47"/>
      <c r="B684" s="47"/>
      <c r="C684" s="47"/>
      <c r="D684" s="47"/>
      <c r="E684" s="47"/>
      <c r="F684" s="47"/>
      <c r="G684" s="47"/>
      <c r="H684" s="47"/>
      <c r="I684" s="47"/>
      <c r="J684" s="47"/>
      <c r="K684" s="47"/>
      <c r="L684" s="47"/>
      <c r="M684" s="47"/>
      <c r="N684" s="47"/>
      <c r="O684" s="47"/>
      <c r="P684" s="47"/>
      <c r="Q684" s="47"/>
      <c r="R684" s="47"/>
      <c r="S684" s="47"/>
      <c r="T684" s="47"/>
      <c r="U684" s="47"/>
      <c r="V684" s="47"/>
      <c r="W684" s="47"/>
      <c r="X684" s="47"/>
      <c r="Y684" s="47"/>
      <c r="Z684" s="47"/>
    </row>
    <row r="685" spans="1:26" ht="15.75" customHeight="1">
      <c r="A685" s="47"/>
      <c r="B685" s="47"/>
      <c r="C685" s="47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  <c r="S685" s="47"/>
      <c r="T685" s="47"/>
      <c r="U685" s="47"/>
      <c r="V685" s="47"/>
      <c r="W685" s="47"/>
      <c r="X685" s="47"/>
      <c r="Y685" s="47"/>
      <c r="Z685" s="47"/>
    </row>
    <row r="686" spans="1:26" ht="15.75" customHeight="1">
      <c r="A686" s="47"/>
      <c r="B686" s="47"/>
      <c r="C686" s="47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  <c r="S686" s="47"/>
      <c r="T686" s="47"/>
      <c r="U686" s="47"/>
      <c r="V686" s="47"/>
      <c r="W686" s="47"/>
      <c r="X686" s="47"/>
      <c r="Y686" s="47"/>
      <c r="Z686" s="47"/>
    </row>
    <row r="687" spans="1:26" ht="15.75" customHeight="1">
      <c r="A687" s="47"/>
      <c r="B687" s="47"/>
      <c r="C687" s="47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  <c r="S687" s="47"/>
      <c r="T687" s="47"/>
      <c r="U687" s="47"/>
      <c r="V687" s="47"/>
      <c r="W687" s="47"/>
      <c r="X687" s="47"/>
      <c r="Y687" s="47"/>
      <c r="Z687" s="47"/>
    </row>
    <row r="688" spans="1:26" ht="15.75" customHeight="1">
      <c r="A688" s="47"/>
      <c r="B688" s="47"/>
      <c r="C688" s="47"/>
      <c r="D688" s="47"/>
      <c r="E688" s="47"/>
      <c r="F688" s="47"/>
      <c r="G688" s="47"/>
      <c r="H688" s="47"/>
      <c r="I688" s="47"/>
      <c r="J688" s="47"/>
      <c r="K688" s="47"/>
      <c r="L688" s="47"/>
      <c r="M688" s="47"/>
      <c r="N688" s="47"/>
      <c r="O688" s="47"/>
      <c r="P688" s="47"/>
      <c r="Q688" s="47"/>
      <c r="R688" s="47"/>
      <c r="S688" s="47"/>
      <c r="T688" s="47"/>
      <c r="U688" s="47"/>
      <c r="V688" s="47"/>
      <c r="W688" s="47"/>
      <c r="X688" s="47"/>
      <c r="Y688" s="47"/>
      <c r="Z688" s="47"/>
    </row>
    <row r="689" spans="1:26" ht="15.75" customHeight="1">
      <c r="A689" s="47"/>
      <c r="B689" s="47"/>
      <c r="C689" s="47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  <c r="S689" s="47"/>
      <c r="T689" s="47"/>
      <c r="U689" s="47"/>
      <c r="V689" s="47"/>
      <c r="W689" s="47"/>
      <c r="X689" s="47"/>
      <c r="Y689" s="47"/>
      <c r="Z689" s="47"/>
    </row>
    <row r="690" spans="1:26" ht="15.75" customHeight="1">
      <c r="A690" s="47"/>
      <c r="B690" s="47"/>
      <c r="C690" s="47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  <c r="S690" s="47"/>
      <c r="T690" s="47"/>
      <c r="U690" s="47"/>
      <c r="V690" s="47"/>
      <c r="W690" s="47"/>
      <c r="X690" s="47"/>
      <c r="Y690" s="47"/>
      <c r="Z690" s="47"/>
    </row>
    <row r="691" spans="1:26" ht="15.75" customHeight="1">
      <c r="A691" s="47"/>
      <c r="B691" s="47"/>
      <c r="C691" s="47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  <c r="S691" s="47"/>
      <c r="T691" s="47"/>
      <c r="U691" s="47"/>
      <c r="V691" s="47"/>
      <c r="W691" s="47"/>
      <c r="X691" s="47"/>
      <c r="Y691" s="47"/>
      <c r="Z691" s="47"/>
    </row>
    <row r="692" spans="1:26" ht="15.75" customHeight="1">
      <c r="A692" s="47"/>
      <c r="B692" s="47"/>
      <c r="C692" s="47"/>
      <c r="D692" s="47"/>
      <c r="E692" s="47"/>
      <c r="F692" s="47"/>
      <c r="G692" s="47"/>
      <c r="H692" s="47"/>
      <c r="I692" s="47"/>
      <c r="J692" s="47"/>
      <c r="K692" s="47"/>
      <c r="L692" s="47"/>
      <c r="M692" s="47"/>
      <c r="N692" s="47"/>
      <c r="O692" s="47"/>
      <c r="P692" s="47"/>
      <c r="Q692" s="47"/>
      <c r="R692" s="47"/>
      <c r="S692" s="47"/>
      <c r="T692" s="47"/>
      <c r="U692" s="47"/>
      <c r="V692" s="47"/>
      <c r="W692" s="47"/>
      <c r="X692" s="47"/>
      <c r="Y692" s="47"/>
      <c r="Z692" s="47"/>
    </row>
    <row r="693" spans="1:26" ht="15.75" customHeight="1">
      <c r="A693" s="47"/>
      <c r="B693" s="47"/>
      <c r="C693" s="47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  <c r="S693" s="47"/>
      <c r="T693" s="47"/>
      <c r="U693" s="47"/>
      <c r="V693" s="47"/>
      <c r="W693" s="47"/>
      <c r="X693" s="47"/>
      <c r="Y693" s="47"/>
      <c r="Z693" s="47"/>
    </row>
    <row r="694" spans="1:26" ht="15.75" customHeight="1">
      <c r="A694" s="47"/>
      <c r="B694" s="47"/>
      <c r="C694" s="47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  <c r="S694" s="47"/>
      <c r="T694" s="47"/>
      <c r="U694" s="47"/>
      <c r="V694" s="47"/>
      <c r="W694" s="47"/>
      <c r="X694" s="47"/>
      <c r="Y694" s="47"/>
      <c r="Z694" s="47"/>
    </row>
    <row r="695" spans="1:26" ht="15.75" customHeight="1">
      <c r="A695" s="47"/>
      <c r="B695" s="47"/>
      <c r="C695" s="47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  <c r="S695" s="47"/>
      <c r="T695" s="47"/>
      <c r="U695" s="47"/>
      <c r="V695" s="47"/>
      <c r="W695" s="47"/>
      <c r="X695" s="47"/>
      <c r="Y695" s="47"/>
      <c r="Z695" s="47"/>
    </row>
    <row r="696" spans="1:26" ht="15.75" customHeight="1">
      <c r="A696" s="47"/>
      <c r="B696" s="47"/>
      <c r="C696" s="47"/>
      <c r="D696" s="47"/>
      <c r="E696" s="47"/>
      <c r="F696" s="47"/>
      <c r="G696" s="47"/>
      <c r="H696" s="47"/>
      <c r="I696" s="47"/>
      <c r="J696" s="47"/>
      <c r="K696" s="47"/>
      <c r="L696" s="47"/>
      <c r="M696" s="47"/>
      <c r="N696" s="47"/>
      <c r="O696" s="47"/>
      <c r="P696" s="47"/>
      <c r="Q696" s="47"/>
      <c r="R696" s="47"/>
      <c r="S696" s="47"/>
      <c r="T696" s="47"/>
      <c r="U696" s="47"/>
      <c r="V696" s="47"/>
      <c r="W696" s="47"/>
      <c r="X696" s="47"/>
      <c r="Y696" s="47"/>
      <c r="Z696" s="47"/>
    </row>
    <row r="697" spans="1:26" ht="15.75" customHeight="1">
      <c r="A697" s="47"/>
      <c r="B697" s="47"/>
      <c r="C697" s="47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  <c r="S697" s="47"/>
      <c r="T697" s="47"/>
      <c r="U697" s="47"/>
      <c r="V697" s="47"/>
      <c r="W697" s="47"/>
      <c r="X697" s="47"/>
      <c r="Y697" s="47"/>
      <c r="Z697" s="47"/>
    </row>
    <row r="698" spans="1:26" ht="15.75" customHeight="1">
      <c r="A698" s="47"/>
      <c r="B698" s="47"/>
      <c r="C698" s="47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  <c r="S698" s="47"/>
      <c r="T698" s="47"/>
      <c r="U698" s="47"/>
      <c r="V698" s="47"/>
      <c r="W698" s="47"/>
      <c r="X698" s="47"/>
      <c r="Y698" s="47"/>
      <c r="Z698" s="47"/>
    </row>
    <row r="699" spans="1:26" ht="15.75" customHeight="1">
      <c r="A699" s="47"/>
      <c r="B699" s="47"/>
      <c r="C699" s="47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  <c r="S699" s="47"/>
      <c r="T699" s="47"/>
      <c r="U699" s="47"/>
      <c r="V699" s="47"/>
      <c r="W699" s="47"/>
      <c r="X699" s="47"/>
      <c r="Y699" s="47"/>
      <c r="Z699" s="47"/>
    </row>
    <row r="700" spans="1:26" ht="15.75" customHeight="1">
      <c r="A700" s="47"/>
      <c r="B700" s="47"/>
      <c r="C700" s="47"/>
      <c r="D700" s="47"/>
      <c r="E700" s="47"/>
      <c r="F700" s="47"/>
      <c r="G700" s="47"/>
      <c r="H700" s="47"/>
      <c r="I700" s="47"/>
      <c r="J700" s="47"/>
      <c r="K700" s="47"/>
      <c r="L700" s="47"/>
      <c r="M700" s="47"/>
      <c r="N700" s="47"/>
      <c r="O700" s="47"/>
      <c r="P700" s="47"/>
      <c r="Q700" s="47"/>
      <c r="R700" s="47"/>
      <c r="S700" s="47"/>
      <c r="T700" s="47"/>
      <c r="U700" s="47"/>
      <c r="V700" s="47"/>
      <c r="W700" s="47"/>
      <c r="X700" s="47"/>
      <c r="Y700" s="47"/>
      <c r="Z700" s="47"/>
    </row>
    <row r="701" spans="1:26" ht="15.75" customHeight="1">
      <c r="A701" s="47"/>
      <c r="B701" s="47"/>
      <c r="C701" s="47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  <c r="S701" s="47"/>
      <c r="T701" s="47"/>
      <c r="U701" s="47"/>
      <c r="V701" s="47"/>
      <c r="W701" s="47"/>
      <c r="X701" s="47"/>
      <c r="Y701" s="47"/>
      <c r="Z701" s="47"/>
    </row>
    <row r="702" spans="1:26" ht="15.75" customHeight="1">
      <c r="A702" s="47"/>
      <c r="B702" s="47"/>
      <c r="C702" s="47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  <c r="S702" s="47"/>
      <c r="T702" s="47"/>
      <c r="U702" s="47"/>
      <c r="V702" s="47"/>
      <c r="W702" s="47"/>
      <c r="X702" s="47"/>
      <c r="Y702" s="47"/>
      <c r="Z702" s="47"/>
    </row>
    <row r="703" spans="1:26" ht="15.75" customHeight="1">
      <c r="A703" s="47"/>
      <c r="B703" s="47"/>
      <c r="C703" s="47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  <c r="S703" s="47"/>
      <c r="T703" s="47"/>
      <c r="U703" s="47"/>
      <c r="V703" s="47"/>
      <c r="W703" s="47"/>
      <c r="X703" s="47"/>
      <c r="Y703" s="47"/>
      <c r="Z703" s="47"/>
    </row>
    <row r="704" spans="1:26" ht="15.75" customHeight="1">
      <c r="A704" s="47"/>
      <c r="B704" s="47"/>
      <c r="C704" s="47"/>
      <c r="D704" s="47"/>
      <c r="E704" s="47"/>
      <c r="F704" s="47"/>
      <c r="G704" s="47"/>
      <c r="H704" s="47"/>
      <c r="I704" s="47"/>
      <c r="J704" s="47"/>
      <c r="K704" s="47"/>
      <c r="L704" s="47"/>
      <c r="M704" s="47"/>
      <c r="N704" s="47"/>
      <c r="O704" s="47"/>
      <c r="P704" s="47"/>
      <c r="Q704" s="47"/>
      <c r="R704" s="47"/>
      <c r="S704" s="47"/>
      <c r="T704" s="47"/>
      <c r="U704" s="47"/>
      <c r="V704" s="47"/>
      <c r="W704" s="47"/>
      <c r="X704" s="47"/>
      <c r="Y704" s="47"/>
      <c r="Z704" s="47"/>
    </row>
    <row r="705" spans="1:26" ht="15.75" customHeight="1">
      <c r="A705" s="47"/>
      <c r="B705" s="47"/>
      <c r="C705" s="47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  <c r="S705" s="47"/>
      <c r="T705" s="47"/>
      <c r="U705" s="47"/>
      <c r="V705" s="47"/>
      <c r="W705" s="47"/>
      <c r="X705" s="47"/>
      <c r="Y705" s="47"/>
      <c r="Z705" s="47"/>
    </row>
    <row r="706" spans="1:26" ht="15.75" customHeight="1">
      <c r="A706" s="47"/>
      <c r="B706" s="47"/>
      <c r="C706" s="47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  <c r="S706" s="47"/>
      <c r="T706" s="47"/>
      <c r="U706" s="47"/>
      <c r="V706" s="47"/>
      <c r="W706" s="47"/>
      <c r="X706" s="47"/>
      <c r="Y706" s="47"/>
      <c r="Z706" s="47"/>
    </row>
    <row r="707" spans="1:26" ht="15.75" customHeight="1">
      <c r="A707" s="47"/>
      <c r="B707" s="47"/>
      <c r="C707" s="47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  <c r="S707" s="47"/>
      <c r="T707" s="47"/>
      <c r="U707" s="47"/>
      <c r="V707" s="47"/>
      <c r="W707" s="47"/>
      <c r="X707" s="47"/>
      <c r="Y707" s="47"/>
      <c r="Z707" s="47"/>
    </row>
    <row r="708" spans="1:26" ht="15.75" customHeight="1">
      <c r="A708" s="47"/>
      <c r="B708" s="47"/>
      <c r="C708" s="47"/>
      <c r="D708" s="47"/>
      <c r="E708" s="47"/>
      <c r="F708" s="47"/>
      <c r="G708" s="47"/>
      <c r="H708" s="47"/>
      <c r="I708" s="47"/>
      <c r="J708" s="47"/>
      <c r="K708" s="47"/>
      <c r="L708" s="47"/>
      <c r="M708" s="47"/>
      <c r="N708" s="47"/>
      <c r="O708" s="47"/>
      <c r="P708" s="47"/>
      <c r="Q708" s="47"/>
      <c r="R708" s="47"/>
      <c r="S708" s="47"/>
      <c r="T708" s="47"/>
      <c r="U708" s="47"/>
      <c r="V708" s="47"/>
      <c r="W708" s="47"/>
      <c r="X708" s="47"/>
      <c r="Y708" s="47"/>
      <c r="Z708" s="47"/>
    </row>
    <row r="709" spans="1:26" ht="15.75" customHeight="1">
      <c r="A709" s="47"/>
      <c r="B709" s="47"/>
      <c r="C709" s="47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  <c r="S709" s="47"/>
      <c r="T709" s="47"/>
      <c r="U709" s="47"/>
      <c r="V709" s="47"/>
      <c r="W709" s="47"/>
      <c r="X709" s="47"/>
      <c r="Y709" s="47"/>
      <c r="Z709" s="47"/>
    </row>
    <row r="710" spans="1:26" ht="15.75" customHeight="1">
      <c r="A710" s="47"/>
      <c r="B710" s="47"/>
      <c r="C710" s="47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  <c r="S710" s="47"/>
      <c r="T710" s="47"/>
      <c r="U710" s="47"/>
      <c r="V710" s="47"/>
      <c r="W710" s="47"/>
      <c r="X710" s="47"/>
      <c r="Y710" s="47"/>
      <c r="Z710" s="47"/>
    </row>
    <row r="711" spans="1:26" ht="15.75" customHeight="1">
      <c r="A711" s="47"/>
      <c r="B711" s="47"/>
      <c r="C711" s="47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  <c r="S711" s="47"/>
      <c r="T711" s="47"/>
      <c r="U711" s="47"/>
      <c r="V711" s="47"/>
      <c r="W711" s="47"/>
      <c r="X711" s="47"/>
      <c r="Y711" s="47"/>
      <c r="Z711" s="47"/>
    </row>
    <row r="712" spans="1:26" ht="15.75" customHeight="1">
      <c r="A712" s="47"/>
      <c r="B712" s="47"/>
      <c r="C712" s="47"/>
      <c r="D712" s="47"/>
      <c r="E712" s="47"/>
      <c r="F712" s="47"/>
      <c r="G712" s="47"/>
      <c r="H712" s="47"/>
      <c r="I712" s="47"/>
      <c r="J712" s="47"/>
      <c r="K712" s="47"/>
      <c r="L712" s="47"/>
      <c r="M712" s="47"/>
      <c r="N712" s="47"/>
      <c r="O712" s="47"/>
      <c r="P712" s="47"/>
      <c r="Q712" s="47"/>
      <c r="R712" s="47"/>
      <c r="S712" s="47"/>
      <c r="T712" s="47"/>
      <c r="U712" s="47"/>
      <c r="V712" s="47"/>
      <c r="W712" s="47"/>
      <c r="X712" s="47"/>
      <c r="Y712" s="47"/>
      <c r="Z712" s="47"/>
    </row>
    <row r="713" spans="1:26" ht="15.75" customHeight="1">
      <c r="A713" s="47"/>
      <c r="B713" s="47"/>
      <c r="C713" s="47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  <c r="S713" s="47"/>
      <c r="T713" s="47"/>
      <c r="U713" s="47"/>
      <c r="V713" s="47"/>
      <c r="W713" s="47"/>
      <c r="X713" s="47"/>
      <c r="Y713" s="47"/>
      <c r="Z713" s="47"/>
    </row>
    <row r="714" spans="1:26" ht="15.75" customHeight="1">
      <c r="A714" s="47"/>
      <c r="B714" s="47"/>
      <c r="C714" s="47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  <c r="S714" s="47"/>
      <c r="T714" s="47"/>
      <c r="U714" s="47"/>
      <c r="V714" s="47"/>
      <c r="W714" s="47"/>
      <c r="X714" s="47"/>
      <c r="Y714" s="47"/>
      <c r="Z714" s="47"/>
    </row>
    <row r="715" spans="1:26" ht="15.75" customHeight="1">
      <c r="A715" s="47"/>
      <c r="B715" s="47"/>
      <c r="C715" s="47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  <c r="S715" s="47"/>
      <c r="T715" s="47"/>
      <c r="U715" s="47"/>
      <c r="V715" s="47"/>
      <c r="W715" s="47"/>
      <c r="X715" s="47"/>
      <c r="Y715" s="47"/>
      <c r="Z715" s="47"/>
    </row>
    <row r="716" spans="1:26" ht="15.75" customHeight="1">
      <c r="A716" s="47"/>
      <c r="B716" s="47"/>
      <c r="C716" s="47"/>
      <c r="D716" s="47"/>
      <c r="E716" s="47"/>
      <c r="F716" s="47"/>
      <c r="G716" s="47"/>
      <c r="H716" s="47"/>
      <c r="I716" s="47"/>
      <c r="J716" s="47"/>
      <c r="K716" s="47"/>
      <c r="L716" s="47"/>
      <c r="M716" s="47"/>
      <c r="N716" s="47"/>
      <c r="O716" s="47"/>
      <c r="P716" s="47"/>
      <c r="Q716" s="47"/>
      <c r="R716" s="47"/>
      <c r="S716" s="47"/>
      <c r="T716" s="47"/>
      <c r="U716" s="47"/>
      <c r="V716" s="47"/>
      <c r="W716" s="47"/>
      <c r="X716" s="47"/>
      <c r="Y716" s="47"/>
      <c r="Z716" s="47"/>
    </row>
    <row r="717" spans="1:26" ht="15.75" customHeight="1">
      <c r="A717" s="47"/>
      <c r="B717" s="47"/>
      <c r="C717" s="47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  <c r="S717" s="47"/>
      <c r="T717" s="47"/>
      <c r="U717" s="47"/>
      <c r="V717" s="47"/>
      <c r="W717" s="47"/>
      <c r="X717" s="47"/>
      <c r="Y717" s="47"/>
      <c r="Z717" s="47"/>
    </row>
    <row r="718" spans="1:26" ht="15.75" customHeight="1">
      <c r="A718" s="47"/>
      <c r="B718" s="47"/>
      <c r="C718" s="47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  <c r="S718" s="47"/>
      <c r="T718" s="47"/>
      <c r="U718" s="47"/>
      <c r="V718" s="47"/>
      <c r="W718" s="47"/>
      <c r="X718" s="47"/>
      <c r="Y718" s="47"/>
      <c r="Z718" s="47"/>
    </row>
    <row r="719" spans="1:26" ht="15.75" customHeight="1">
      <c r="A719" s="47"/>
      <c r="B719" s="47"/>
      <c r="C719" s="47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  <c r="S719" s="47"/>
      <c r="T719" s="47"/>
      <c r="U719" s="47"/>
      <c r="V719" s="47"/>
      <c r="W719" s="47"/>
      <c r="X719" s="47"/>
      <c r="Y719" s="47"/>
      <c r="Z719" s="47"/>
    </row>
    <row r="720" spans="1:26" ht="15.75" customHeight="1">
      <c r="A720" s="47"/>
      <c r="B720" s="47"/>
      <c r="C720" s="47"/>
      <c r="D720" s="47"/>
      <c r="E720" s="47"/>
      <c r="F720" s="47"/>
      <c r="G720" s="47"/>
      <c r="H720" s="47"/>
      <c r="I720" s="47"/>
      <c r="J720" s="47"/>
      <c r="K720" s="47"/>
      <c r="L720" s="47"/>
      <c r="M720" s="47"/>
      <c r="N720" s="47"/>
      <c r="O720" s="47"/>
      <c r="P720" s="47"/>
      <c r="Q720" s="47"/>
      <c r="R720" s="47"/>
      <c r="S720" s="47"/>
      <c r="T720" s="47"/>
      <c r="U720" s="47"/>
      <c r="V720" s="47"/>
      <c r="W720" s="47"/>
      <c r="X720" s="47"/>
      <c r="Y720" s="47"/>
      <c r="Z720" s="47"/>
    </row>
    <row r="721" spans="1:26" ht="15.75" customHeight="1">
      <c r="A721" s="47"/>
      <c r="B721" s="47"/>
      <c r="C721" s="47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  <c r="S721" s="47"/>
      <c r="T721" s="47"/>
      <c r="U721" s="47"/>
      <c r="V721" s="47"/>
      <c r="W721" s="47"/>
      <c r="X721" s="47"/>
      <c r="Y721" s="47"/>
      <c r="Z721" s="47"/>
    </row>
    <row r="722" spans="1:26" ht="15.75" customHeight="1">
      <c r="A722" s="47"/>
      <c r="B722" s="47"/>
      <c r="C722" s="47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  <c r="S722" s="47"/>
      <c r="T722" s="47"/>
      <c r="U722" s="47"/>
      <c r="V722" s="47"/>
      <c r="W722" s="47"/>
      <c r="X722" s="47"/>
      <c r="Y722" s="47"/>
      <c r="Z722" s="47"/>
    </row>
    <row r="723" spans="1:26" ht="15.75" customHeight="1">
      <c r="A723" s="47"/>
      <c r="B723" s="47"/>
      <c r="C723" s="47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  <c r="S723" s="47"/>
      <c r="T723" s="47"/>
      <c r="U723" s="47"/>
      <c r="V723" s="47"/>
      <c r="W723" s="47"/>
      <c r="X723" s="47"/>
      <c r="Y723" s="47"/>
      <c r="Z723" s="47"/>
    </row>
    <row r="724" spans="1:26" ht="15.75" customHeight="1">
      <c r="A724" s="47"/>
      <c r="B724" s="47"/>
      <c r="C724" s="47"/>
      <c r="D724" s="47"/>
      <c r="E724" s="47"/>
      <c r="F724" s="47"/>
      <c r="G724" s="47"/>
      <c r="H724" s="47"/>
      <c r="I724" s="47"/>
      <c r="J724" s="47"/>
      <c r="K724" s="47"/>
      <c r="L724" s="47"/>
      <c r="M724" s="47"/>
      <c r="N724" s="47"/>
      <c r="O724" s="47"/>
      <c r="P724" s="47"/>
      <c r="Q724" s="47"/>
      <c r="R724" s="47"/>
      <c r="S724" s="47"/>
      <c r="T724" s="47"/>
      <c r="U724" s="47"/>
      <c r="V724" s="47"/>
      <c r="W724" s="47"/>
      <c r="X724" s="47"/>
      <c r="Y724" s="47"/>
      <c r="Z724" s="47"/>
    </row>
    <row r="725" spans="1:26" ht="15.75" customHeight="1">
      <c r="A725" s="47"/>
      <c r="B725" s="47"/>
      <c r="C725" s="47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  <c r="S725" s="47"/>
      <c r="T725" s="47"/>
      <c r="U725" s="47"/>
      <c r="V725" s="47"/>
      <c r="W725" s="47"/>
      <c r="X725" s="47"/>
      <c r="Y725" s="47"/>
      <c r="Z725" s="47"/>
    </row>
    <row r="726" spans="1:26" ht="15.75" customHeight="1">
      <c r="A726" s="47"/>
      <c r="B726" s="47"/>
      <c r="C726" s="47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  <c r="S726" s="47"/>
      <c r="T726" s="47"/>
      <c r="U726" s="47"/>
      <c r="V726" s="47"/>
      <c r="W726" s="47"/>
      <c r="X726" s="47"/>
      <c r="Y726" s="47"/>
      <c r="Z726" s="47"/>
    </row>
    <row r="727" spans="1:26" ht="15.75" customHeight="1">
      <c r="A727" s="47"/>
      <c r="B727" s="47"/>
      <c r="C727" s="47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  <c r="S727" s="47"/>
      <c r="T727" s="47"/>
      <c r="U727" s="47"/>
      <c r="V727" s="47"/>
      <c r="W727" s="47"/>
      <c r="X727" s="47"/>
      <c r="Y727" s="47"/>
      <c r="Z727" s="47"/>
    </row>
    <row r="728" spans="1:26" ht="15.75" customHeight="1">
      <c r="A728" s="47"/>
      <c r="B728" s="47"/>
      <c r="C728" s="47"/>
      <c r="D728" s="47"/>
      <c r="E728" s="47"/>
      <c r="F728" s="47"/>
      <c r="G728" s="47"/>
      <c r="H728" s="47"/>
      <c r="I728" s="47"/>
      <c r="J728" s="47"/>
      <c r="K728" s="47"/>
      <c r="L728" s="47"/>
      <c r="M728" s="47"/>
      <c r="N728" s="47"/>
      <c r="O728" s="47"/>
      <c r="P728" s="47"/>
      <c r="Q728" s="47"/>
      <c r="R728" s="47"/>
      <c r="S728" s="47"/>
      <c r="T728" s="47"/>
      <c r="U728" s="47"/>
      <c r="V728" s="47"/>
      <c r="W728" s="47"/>
      <c r="X728" s="47"/>
      <c r="Y728" s="47"/>
      <c r="Z728" s="47"/>
    </row>
    <row r="729" spans="1:26" ht="15.75" customHeight="1">
      <c r="A729" s="47"/>
      <c r="B729" s="47"/>
      <c r="C729" s="47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  <c r="S729" s="47"/>
      <c r="T729" s="47"/>
      <c r="U729" s="47"/>
      <c r="V729" s="47"/>
      <c r="W729" s="47"/>
      <c r="X729" s="47"/>
      <c r="Y729" s="47"/>
      <c r="Z729" s="47"/>
    </row>
    <row r="730" spans="1:26" ht="15.75" customHeight="1">
      <c r="A730" s="47"/>
      <c r="B730" s="47"/>
      <c r="C730" s="47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  <c r="S730" s="47"/>
      <c r="T730" s="47"/>
      <c r="U730" s="47"/>
      <c r="V730" s="47"/>
      <c r="W730" s="47"/>
      <c r="X730" s="47"/>
      <c r="Y730" s="47"/>
      <c r="Z730" s="47"/>
    </row>
    <row r="731" spans="1:26" ht="15.75" customHeight="1">
      <c r="A731" s="47"/>
      <c r="B731" s="47"/>
      <c r="C731" s="47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  <c r="S731" s="47"/>
      <c r="T731" s="47"/>
      <c r="U731" s="47"/>
      <c r="V731" s="47"/>
      <c r="W731" s="47"/>
      <c r="X731" s="47"/>
      <c r="Y731" s="47"/>
      <c r="Z731" s="47"/>
    </row>
    <row r="732" spans="1:26" ht="15.75" customHeight="1">
      <c r="A732" s="47"/>
      <c r="B732" s="47"/>
      <c r="C732" s="47"/>
      <c r="D732" s="47"/>
      <c r="E732" s="47"/>
      <c r="F732" s="47"/>
      <c r="G732" s="47"/>
      <c r="H732" s="47"/>
      <c r="I732" s="47"/>
      <c r="J732" s="47"/>
      <c r="K732" s="47"/>
      <c r="L732" s="47"/>
      <c r="M732" s="47"/>
      <c r="N732" s="47"/>
      <c r="O732" s="47"/>
      <c r="P732" s="47"/>
      <c r="Q732" s="47"/>
      <c r="R732" s="47"/>
      <c r="S732" s="47"/>
      <c r="T732" s="47"/>
      <c r="U732" s="47"/>
      <c r="V732" s="47"/>
      <c r="W732" s="47"/>
      <c r="X732" s="47"/>
      <c r="Y732" s="47"/>
      <c r="Z732" s="47"/>
    </row>
    <row r="733" spans="1:26" ht="15.75" customHeight="1">
      <c r="A733" s="47"/>
      <c r="B733" s="47"/>
      <c r="C733" s="47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  <c r="S733" s="47"/>
      <c r="T733" s="47"/>
      <c r="U733" s="47"/>
      <c r="V733" s="47"/>
      <c r="W733" s="47"/>
      <c r="X733" s="47"/>
      <c r="Y733" s="47"/>
      <c r="Z733" s="47"/>
    </row>
    <row r="734" spans="1:26" ht="15.75" customHeight="1">
      <c r="A734" s="47"/>
      <c r="B734" s="47"/>
      <c r="C734" s="47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  <c r="S734" s="47"/>
      <c r="T734" s="47"/>
      <c r="U734" s="47"/>
      <c r="V734" s="47"/>
      <c r="W734" s="47"/>
      <c r="X734" s="47"/>
      <c r="Y734" s="47"/>
      <c r="Z734" s="47"/>
    </row>
    <row r="735" spans="1:26" ht="15.75" customHeight="1">
      <c r="A735" s="47"/>
      <c r="B735" s="47"/>
      <c r="C735" s="47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  <c r="S735" s="47"/>
      <c r="T735" s="47"/>
      <c r="U735" s="47"/>
      <c r="V735" s="47"/>
      <c r="W735" s="47"/>
      <c r="X735" s="47"/>
      <c r="Y735" s="47"/>
      <c r="Z735" s="47"/>
    </row>
    <row r="736" spans="1:26" ht="15.75" customHeight="1">
      <c r="A736" s="47"/>
      <c r="B736" s="47"/>
      <c r="C736" s="47"/>
      <c r="D736" s="47"/>
      <c r="E736" s="47"/>
      <c r="F736" s="47"/>
      <c r="G736" s="47"/>
      <c r="H736" s="47"/>
      <c r="I736" s="47"/>
      <c r="J736" s="47"/>
      <c r="K736" s="47"/>
      <c r="L736" s="47"/>
      <c r="M736" s="47"/>
      <c r="N736" s="47"/>
      <c r="O736" s="47"/>
      <c r="P736" s="47"/>
      <c r="Q736" s="47"/>
      <c r="R736" s="47"/>
      <c r="S736" s="47"/>
      <c r="T736" s="47"/>
      <c r="U736" s="47"/>
      <c r="V736" s="47"/>
      <c r="W736" s="47"/>
      <c r="X736" s="47"/>
      <c r="Y736" s="47"/>
      <c r="Z736" s="47"/>
    </row>
    <row r="737" spans="1:26" ht="15.75" customHeight="1">
      <c r="A737" s="47"/>
      <c r="B737" s="47"/>
      <c r="C737" s="47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  <c r="S737" s="47"/>
      <c r="T737" s="47"/>
      <c r="U737" s="47"/>
      <c r="V737" s="47"/>
      <c r="W737" s="47"/>
      <c r="X737" s="47"/>
      <c r="Y737" s="47"/>
      <c r="Z737" s="47"/>
    </row>
    <row r="738" spans="1:26" ht="15.75" customHeight="1">
      <c r="A738" s="47"/>
      <c r="B738" s="47"/>
      <c r="C738" s="47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  <c r="S738" s="47"/>
      <c r="T738" s="47"/>
      <c r="U738" s="47"/>
      <c r="V738" s="47"/>
      <c r="W738" s="47"/>
      <c r="X738" s="47"/>
      <c r="Y738" s="47"/>
      <c r="Z738" s="47"/>
    </row>
    <row r="739" spans="1:26" ht="15.75" customHeight="1">
      <c r="A739" s="47"/>
      <c r="B739" s="47"/>
      <c r="C739" s="47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  <c r="S739" s="47"/>
      <c r="T739" s="47"/>
      <c r="U739" s="47"/>
      <c r="V739" s="47"/>
      <c r="W739" s="47"/>
      <c r="X739" s="47"/>
      <c r="Y739" s="47"/>
      <c r="Z739" s="47"/>
    </row>
    <row r="740" spans="1:26" ht="15.75" customHeight="1">
      <c r="A740" s="47"/>
      <c r="B740" s="47"/>
      <c r="C740" s="47"/>
      <c r="D740" s="47"/>
      <c r="E740" s="47"/>
      <c r="F740" s="47"/>
      <c r="G740" s="47"/>
      <c r="H740" s="47"/>
      <c r="I740" s="47"/>
      <c r="J740" s="47"/>
      <c r="K740" s="47"/>
      <c r="L740" s="47"/>
      <c r="M740" s="47"/>
      <c r="N740" s="47"/>
      <c r="O740" s="47"/>
      <c r="P740" s="47"/>
      <c r="Q740" s="47"/>
      <c r="R740" s="47"/>
      <c r="S740" s="47"/>
      <c r="T740" s="47"/>
      <c r="U740" s="47"/>
      <c r="V740" s="47"/>
      <c r="W740" s="47"/>
      <c r="X740" s="47"/>
      <c r="Y740" s="47"/>
      <c r="Z740" s="47"/>
    </row>
    <row r="741" spans="1:26" ht="15.75" customHeight="1">
      <c r="A741" s="47"/>
      <c r="B741" s="47"/>
      <c r="C741" s="47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  <c r="S741" s="47"/>
      <c r="T741" s="47"/>
      <c r="U741" s="47"/>
      <c r="V741" s="47"/>
      <c r="W741" s="47"/>
      <c r="X741" s="47"/>
      <c r="Y741" s="47"/>
      <c r="Z741" s="47"/>
    </row>
    <row r="742" spans="1:26" ht="15.75" customHeight="1">
      <c r="A742" s="47"/>
      <c r="B742" s="47"/>
      <c r="C742" s="47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  <c r="S742" s="47"/>
      <c r="T742" s="47"/>
      <c r="U742" s="47"/>
      <c r="V742" s="47"/>
      <c r="W742" s="47"/>
      <c r="X742" s="47"/>
      <c r="Y742" s="47"/>
      <c r="Z742" s="47"/>
    </row>
    <row r="743" spans="1:26" ht="15.75" customHeight="1">
      <c r="A743" s="47"/>
      <c r="B743" s="47"/>
      <c r="C743" s="47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  <c r="S743" s="47"/>
      <c r="T743" s="47"/>
      <c r="U743" s="47"/>
      <c r="V743" s="47"/>
      <c r="W743" s="47"/>
      <c r="X743" s="47"/>
      <c r="Y743" s="47"/>
      <c r="Z743" s="47"/>
    </row>
    <row r="744" spans="1:26" ht="15.75" customHeight="1">
      <c r="A744" s="47"/>
      <c r="B744" s="47"/>
      <c r="C744" s="47"/>
      <c r="D744" s="47"/>
      <c r="E744" s="47"/>
      <c r="F744" s="47"/>
      <c r="G744" s="47"/>
      <c r="H744" s="47"/>
      <c r="I744" s="47"/>
      <c r="J744" s="47"/>
      <c r="K744" s="47"/>
      <c r="L744" s="47"/>
      <c r="M744" s="47"/>
      <c r="N744" s="47"/>
      <c r="O744" s="47"/>
      <c r="P744" s="47"/>
      <c r="Q744" s="47"/>
      <c r="R744" s="47"/>
      <c r="S744" s="47"/>
      <c r="T744" s="47"/>
      <c r="U744" s="47"/>
      <c r="V744" s="47"/>
      <c r="W744" s="47"/>
      <c r="X744" s="47"/>
      <c r="Y744" s="47"/>
      <c r="Z744" s="47"/>
    </row>
    <row r="745" spans="1:26" ht="15.75" customHeight="1">
      <c r="A745" s="47"/>
      <c r="B745" s="47"/>
      <c r="C745" s="47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  <c r="S745" s="47"/>
      <c r="T745" s="47"/>
      <c r="U745" s="47"/>
      <c r="V745" s="47"/>
      <c r="W745" s="47"/>
      <c r="X745" s="47"/>
      <c r="Y745" s="47"/>
      <c r="Z745" s="47"/>
    </row>
    <row r="746" spans="1:26" ht="15.75" customHeight="1">
      <c r="A746" s="47"/>
      <c r="B746" s="47"/>
      <c r="C746" s="47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  <c r="S746" s="47"/>
      <c r="T746" s="47"/>
      <c r="U746" s="47"/>
      <c r="V746" s="47"/>
      <c r="W746" s="47"/>
      <c r="X746" s="47"/>
      <c r="Y746" s="47"/>
      <c r="Z746" s="47"/>
    </row>
    <row r="747" spans="1:26" ht="15.75" customHeight="1">
      <c r="A747" s="47"/>
      <c r="B747" s="47"/>
      <c r="C747" s="47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  <c r="S747" s="47"/>
      <c r="T747" s="47"/>
      <c r="U747" s="47"/>
      <c r="V747" s="47"/>
      <c r="W747" s="47"/>
      <c r="X747" s="47"/>
      <c r="Y747" s="47"/>
      <c r="Z747" s="47"/>
    </row>
    <row r="748" spans="1:26" ht="15.75" customHeight="1">
      <c r="A748" s="47"/>
      <c r="B748" s="47"/>
      <c r="C748" s="47"/>
      <c r="D748" s="47"/>
      <c r="E748" s="47"/>
      <c r="F748" s="47"/>
      <c r="G748" s="47"/>
      <c r="H748" s="47"/>
      <c r="I748" s="47"/>
      <c r="J748" s="47"/>
      <c r="K748" s="47"/>
      <c r="L748" s="47"/>
      <c r="M748" s="47"/>
      <c r="N748" s="47"/>
      <c r="O748" s="47"/>
      <c r="P748" s="47"/>
      <c r="Q748" s="47"/>
      <c r="R748" s="47"/>
      <c r="S748" s="47"/>
      <c r="T748" s="47"/>
      <c r="U748" s="47"/>
      <c r="V748" s="47"/>
      <c r="W748" s="47"/>
      <c r="X748" s="47"/>
      <c r="Y748" s="47"/>
      <c r="Z748" s="47"/>
    </row>
    <row r="749" spans="1:26" ht="15.75" customHeight="1">
      <c r="A749" s="47"/>
      <c r="B749" s="47"/>
      <c r="C749" s="47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  <c r="S749" s="47"/>
      <c r="T749" s="47"/>
      <c r="U749" s="47"/>
      <c r="V749" s="47"/>
      <c r="W749" s="47"/>
      <c r="X749" s="47"/>
      <c r="Y749" s="47"/>
      <c r="Z749" s="47"/>
    </row>
    <row r="750" spans="1:26" ht="15.75" customHeight="1">
      <c r="A750" s="47"/>
      <c r="B750" s="47"/>
      <c r="C750" s="47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  <c r="S750" s="47"/>
      <c r="T750" s="47"/>
      <c r="U750" s="47"/>
      <c r="V750" s="47"/>
      <c r="W750" s="47"/>
      <c r="X750" s="47"/>
      <c r="Y750" s="47"/>
      <c r="Z750" s="47"/>
    </row>
    <row r="751" spans="1:26" ht="15.75" customHeight="1">
      <c r="A751" s="47"/>
      <c r="B751" s="47"/>
      <c r="C751" s="47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  <c r="S751" s="47"/>
      <c r="T751" s="47"/>
      <c r="U751" s="47"/>
      <c r="V751" s="47"/>
      <c r="W751" s="47"/>
      <c r="X751" s="47"/>
      <c r="Y751" s="47"/>
      <c r="Z751" s="47"/>
    </row>
    <row r="752" spans="1:26" ht="15.75" customHeight="1">
      <c r="A752" s="47"/>
      <c r="B752" s="47"/>
      <c r="C752" s="47"/>
      <c r="D752" s="47"/>
      <c r="E752" s="47"/>
      <c r="F752" s="47"/>
      <c r="G752" s="47"/>
      <c r="H752" s="47"/>
      <c r="I752" s="47"/>
      <c r="J752" s="47"/>
      <c r="K752" s="47"/>
      <c r="L752" s="47"/>
      <c r="M752" s="47"/>
      <c r="N752" s="47"/>
      <c r="O752" s="47"/>
      <c r="P752" s="47"/>
      <c r="Q752" s="47"/>
      <c r="R752" s="47"/>
      <c r="S752" s="47"/>
      <c r="T752" s="47"/>
      <c r="U752" s="47"/>
      <c r="V752" s="47"/>
      <c r="W752" s="47"/>
      <c r="X752" s="47"/>
      <c r="Y752" s="47"/>
      <c r="Z752" s="47"/>
    </row>
    <row r="753" spans="1:26" ht="15.75" customHeight="1">
      <c r="A753" s="47"/>
      <c r="B753" s="47"/>
      <c r="C753" s="47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  <c r="S753" s="47"/>
      <c r="T753" s="47"/>
      <c r="U753" s="47"/>
      <c r="V753" s="47"/>
      <c r="W753" s="47"/>
      <c r="X753" s="47"/>
      <c r="Y753" s="47"/>
      <c r="Z753" s="47"/>
    </row>
    <row r="754" spans="1:26" ht="15.75" customHeight="1">
      <c r="A754" s="47"/>
      <c r="B754" s="47"/>
      <c r="C754" s="47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  <c r="S754" s="47"/>
      <c r="T754" s="47"/>
      <c r="U754" s="47"/>
      <c r="V754" s="47"/>
      <c r="W754" s="47"/>
      <c r="X754" s="47"/>
      <c r="Y754" s="47"/>
      <c r="Z754" s="47"/>
    </row>
    <row r="755" spans="1:26" ht="15.75" customHeight="1">
      <c r="A755" s="47"/>
      <c r="B755" s="47"/>
      <c r="C755" s="47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  <c r="S755" s="47"/>
      <c r="T755" s="47"/>
      <c r="U755" s="47"/>
      <c r="V755" s="47"/>
      <c r="W755" s="47"/>
      <c r="X755" s="47"/>
      <c r="Y755" s="47"/>
      <c r="Z755" s="47"/>
    </row>
    <row r="756" spans="1:26" ht="15.75" customHeight="1">
      <c r="A756" s="47"/>
      <c r="B756" s="47"/>
      <c r="C756" s="47"/>
      <c r="D756" s="47"/>
      <c r="E756" s="47"/>
      <c r="F756" s="47"/>
      <c r="G756" s="47"/>
      <c r="H756" s="47"/>
      <c r="I756" s="47"/>
      <c r="J756" s="47"/>
      <c r="K756" s="47"/>
      <c r="L756" s="47"/>
      <c r="M756" s="47"/>
      <c r="N756" s="47"/>
      <c r="O756" s="47"/>
      <c r="P756" s="47"/>
      <c r="Q756" s="47"/>
      <c r="R756" s="47"/>
      <c r="S756" s="47"/>
      <c r="T756" s="47"/>
      <c r="U756" s="47"/>
      <c r="V756" s="47"/>
      <c r="W756" s="47"/>
      <c r="X756" s="47"/>
      <c r="Y756" s="47"/>
      <c r="Z756" s="47"/>
    </row>
    <row r="757" spans="1:26" ht="15.75" customHeight="1">
      <c r="A757" s="47"/>
      <c r="B757" s="47"/>
      <c r="C757" s="47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  <c r="S757" s="47"/>
      <c r="T757" s="47"/>
      <c r="U757" s="47"/>
      <c r="V757" s="47"/>
      <c r="W757" s="47"/>
      <c r="X757" s="47"/>
      <c r="Y757" s="47"/>
      <c r="Z757" s="47"/>
    </row>
    <row r="758" spans="1:26" ht="15.75" customHeight="1">
      <c r="A758" s="47"/>
      <c r="B758" s="47"/>
      <c r="C758" s="47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  <c r="S758" s="47"/>
      <c r="T758" s="47"/>
      <c r="U758" s="47"/>
      <c r="V758" s="47"/>
      <c r="W758" s="47"/>
      <c r="X758" s="47"/>
      <c r="Y758" s="47"/>
      <c r="Z758" s="47"/>
    </row>
    <row r="759" spans="1:26" ht="15.75" customHeight="1">
      <c r="A759" s="47"/>
      <c r="B759" s="47"/>
      <c r="C759" s="47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  <c r="S759" s="47"/>
      <c r="T759" s="47"/>
      <c r="U759" s="47"/>
      <c r="V759" s="47"/>
      <c r="W759" s="47"/>
      <c r="X759" s="47"/>
      <c r="Y759" s="47"/>
      <c r="Z759" s="47"/>
    </row>
    <row r="760" spans="1:26" ht="15.75" customHeight="1">
      <c r="A760" s="47"/>
      <c r="B760" s="47"/>
      <c r="C760" s="47"/>
      <c r="D760" s="47"/>
      <c r="E760" s="47"/>
      <c r="F760" s="47"/>
      <c r="G760" s="47"/>
      <c r="H760" s="47"/>
      <c r="I760" s="47"/>
      <c r="J760" s="47"/>
      <c r="K760" s="47"/>
      <c r="L760" s="47"/>
      <c r="M760" s="47"/>
      <c r="N760" s="47"/>
      <c r="O760" s="47"/>
      <c r="P760" s="47"/>
      <c r="Q760" s="47"/>
      <c r="R760" s="47"/>
      <c r="S760" s="47"/>
      <c r="T760" s="47"/>
      <c r="U760" s="47"/>
      <c r="V760" s="47"/>
      <c r="W760" s="47"/>
      <c r="X760" s="47"/>
      <c r="Y760" s="47"/>
      <c r="Z760" s="47"/>
    </row>
    <row r="761" spans="1:26" ht="15.75" customHeight="1">
      <c r="A761" s="47"/>
      <c r="B761" s="47"/>
      <c r="C761" s="47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  <c r="S761" s="47"/>
      <c r="T761" s="47"/>
      <c r="U761" s="47"/>
      <c r="V761" s="47"/>
      <c r="W761" s="47"/>
      <c r="X761" s="47"/>
      <c r="Y761" s="47"/>
      <c r="Z761" s="47"/>
    </row>
    <row r="762" spans="1:26" ht="15.75" customHeight="1">
      <c r="A762" s="47"/>
      <c r="B762" s="47"/>
      <c r="C762" s="47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  <c r="S762" s="47"/>
      <c r="T762" s="47"/>
      <c r="U762" s="47"/>
      <c r="V762" s="47"/>
      <c r="W762" s="47"/>
      <c r="X762" s="47"/>
      <c r="Y762" s="47"/>
      <c r="Z762" s="47"/>
    </row>
    <row r="763" spans="1:26" ht="15.75" customHeight="1">
      <c r="A763" s="47"/>
      <c r="B763" s="47"/>
      <c r="C763" s="47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  <c r="S763" s="47"/>
      <c r="T763" s="47"/>
      <c r="U763" s="47"/>
      <c r="V763" s="47"/>
      <c r="W763" s="47"/>
      <c r="X763" s="47"/>
      <c r="Y763" s="47"/>
      <c r="Z763" s="47"/>
    </row>
    <row r="764" spans="1:26" ht="15.75" customHeight="1">
      <c r="A764" s="47"/>
      <c r="B764" s="47"/>
      <c r="C764" s="47"/>
      <c r="D764" s="47"/>
      <c r="E764" s="47"/>
      <c r="F764" s="47"/>
      <c r="G764" s="47"/>
      <c r="H764" s="47"/>
      <c r="I764" s="47"/>
      <c r="J764" s="47"/>
      <c r="K764" s="47"/>
      <c r="L764" s="47"/>
      <c r="M764" s="47"/>
      <c r="N764" s="47"/>
      <c r="O764" s="47"/>
      <c r="P764" s="47"/>
      <c r="Q764" s="47"/>
      <c r="R764" s="47"/>
      <c r="S764" s="47"/>
      <c r="T764" s="47"/>
      <c r="U764" s="47"/>
      <c r="V764" s="47"/>
      <c r="W764" s="47"/>
      <c r="X764" s="47"/>
      <c r="Y764" s="47"/>
      <c r="Z764" s="47"/>
    </row>
    <row r="765" spans="1:26" ht="15.75" customHeight="1">
      <c r="A765" s="47"/>
      <c r="B765" s="47"/>
      <c r="C765" s="47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  <c r="S765" s="47"/>
      <c r="T765" s="47"/>
      <c r="U765" s="47"/>
      <c r="V765" s="47"/>
      <c r="W765" s="47"/>
      <c r="X765" s="47"/>
      <c r="Y765" s="47"/>
      <c r="Z765" s="47"/>
    </row>
    <row r="766" spans="1:26" ht="15.75" customHeight="1">
      <c r="A766" s="47"/>
      <c r="B766" s="47"/>
      <c r="C766" s="47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  <c r="S766" s="47"/>
      <c r="T766" s="47"/>
      <c r="U766" s="47"/>
      <c r="V766" s="47"/>
      <c r="W766" s="47"/>
      <c r="X766" s="47"/>
      <c r="Y766" s="47"/>
      <c r="Z766" s="47"/>
    </row>
    <row r="767" spans="1:26" ht="15.75" customHeight="1">
      <c r="A767" s="47"/>
      <c r="B767" s="47"/>
      <c r="C767" s="47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  <c r="S767" s="47"/>
      <c r="T767" s="47"/>
      <c r="U767" s="47"/>
      <c r="V767" s="47"/>
      <c r="W767" s="47"/>
      <c r="X767" s="47"/>
      <c r="Y767" s="47"/>
      <c r="Z767" s="47"/>
    </row>
    <row r="768" spans="1:26" ht="15.75" customHeight="1">
      <c r="A768" s="47"/>
      <c r="B768" s="47"/>
      <c r="C768" s="47"/>
      <c r="D768" s="47"/>
      <c r="E768" s="47"/>
      <c r="F768" s="47"/>
      <c r="G768" s="47"/>
      <c r="H768" s="47"/>
      <c r="I768" s="47"/>
      <c r="J768" s="47"/>
      <c r="K768" s="47"/>
      <c r="L768" s="47"/>
      <c r="M768" s="47"/>
      <c r="N768" s="47"/>
      <c r="O768" s="47"/>
      <c r="P768" s="47"/>
      <c r="Q768" s="47"/>
      <c r="R768" s="47"/>
      <c r="S768" s="47"/>
      <c r="T768" s="47"/>
      <c r="U768" s="47"/>
      <c r="V768" s="47"/>
      <c r="W768" s="47"/>
      <c r="X768" s="47"/>
      <c r="Y768" s="47"/>
      <c r="Z768" s="47"/>
    </row>
    <row r="769" spans="1:26" ht="15.75" customHeight="1">
      <c r="A769" s="47"/>
      <c r="B769" s="47"/>
      <c r="C769" s="47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  <c r="S769" s="47"/>
      <c r="T769" s="47"/>
      <c r="U769" s="47"/>
      <c r="V769" s="47"/>
      <c r="W769" s="47"/>
      <c r="X769" s="47"/>
      <c r="Y769" s="47"/>
      <c r="Z769" s="47"/>
    </row>
    <row r="770" spans="1:26" ht="15.75" customHeight="1">
      <c r="A770" s="47"/>
      <c r="B770" s="47"/>
      <c r="C770" s="47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  <c r="S770" s="47"/>
      <c r="T770" s="47"/>
      <c r="U770" s="47"/>
      <c r="V770" s="47"/>
      <c r="W770" s="47"/>
      <c r="X770" s="47"/>
      <c r="Y770" s="47"/>
      <c r="Z770" s="47"/>
    </row>
    <row r="771" spans="1:26" ht="15.75" customHeight="1">
      <c r="A771" s="47"/>
      <c r="B771" s="47"/>
      <c r="C771" s="47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  <c r="S771" s="47"/>
      <c r="T771" s="47"/>
      <c r="U771" s="47"/>
      <c r="V771" s="47"/>
      <c r="W771" s="47"/>
      <c r="X771" s="47"/>
      <c r="Y771" s="47"/>
      <c r="Z771" s="47"/>
    </row>
    <row r="772" spans="1:26" ht="15.75" customHeight="1">
      <c r="A772" s="47"/>
      <c r="B772" s="47"/>
      <c r="C772" s="47"/>
      <c r="D772" s="47"/>
      <c r="E772" s="47"/>
      <c r="F772" s="47"/>
      <c r="G772" s="47"/>
      <c r="H772" s="47"/>
      <c r="I772" s="47"/>
      <c r="J772" s="47"/>
      <c r="K772" s="47"/>
      <c r="L772" s="47"/>
      <c r="M772" s="47"/>
      <c r="N772" s="47"/>
      <c r="O772" s="47"/>
      <c r="P772" s="47"/>
      <c r="Q772" s="47"/>
      <c r="R772" s="47"/>
      <c r="S772" s="47"/>
      <c r="T772" s="47"/>
      <c r="U772" s="47"/>
      <c r="V772" s="47"/>
      <c r="W772" s="47"/>
      <c r="X772" s="47"/>
      <c r="Y772" s="47"/>
      <c r="Z772" s="47"/>
    </row>
    <row r="773" spans="1:26" ht="15.75" customHeight="1">
      <c r="A773" s="47"/>
      <c r="B773" s="47"/>
      <c r="C773" s="47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  <c r="S773" s="47"/>
      <c r="T773" s="47"/>
      <c r="U773" s="47"/>
      <c r="V773" s="47"/>
      <c r="W773" s="47"/>
      <c r="X773" s="47"/>
      <c r="Y773" s="47"/>
      <c r="Z773" s="47"/>
    </row>
    <row r="774" spans="1:26" ht="15.75" customHeight="1">
      <c r="A774" s="47"/>
      <c r="B774" s="47"/>
      <c r="C774" s="47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  <c r="S774" s="47"/>
      <c r="T774" s="47"/>
      <c r="U774" s="47"/>
      <c r="V774" s="47"/>
      <c r="W774" s="47"/>
      <c r="X774" s="47"/>
      <c r="Y774" s="47"/>
      <c r="Z774" s="47"/>
    </row>
    <row r="775" spans="1:26" ht="15.75" customHeight="1">
      <c r="A775" s="47"/>
      <c r="B775" s="47"/>
      <c r="C775" s="47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  <c r="S775" s="47"/>
      <c r="T775" s="47"/>
      <c r="U775" s="47"/>
      <c r="V775" s="47"/>
      <c r="W775" s="47"/>
      <c r="X775" s="47"/>
      <c r="Y775" s="47"/>
      <c r="Z775" s="47"/>
    </row>
    <row r="776" spans="1:26" ht="15.75" customHeight="1">
      <c r="A776" s="47"/>
      <c r="B776" s="47"/>
      <c r="C776" s="47"/>
      <c r="D776" s="47"/>
      <c r="E776" s="47"/>
      <c r="F776" s="47"/>
      <c r="G776" s="47"/>
      <c r="H776" s="47"/>
      <c r="I776" s="47"/>
      <c r="J776" s="47"/>
      <c r="K776" s="47"/>
      <c r="L776" s="47"/>
      <c r="M776" s="47"/>
      <c r="N776" s="47"/>
      <c r="O776" s="47"/>
      <c r="P776" s="47"/>
      <c r="Q776" s="47"/>
      <c r="R776" s="47"/>
      <c r="S776" s="47"/>
      <c r="T776" s="47"/>
      <c r="U776" s="47"/>
      <c r="V776" s="47"/>
      <c r="W776" s="47"/>
      <c r="X776" s="47"/>
      <c r="Y776" s="47"/>
      <c r="Z776" s="47"/>
    </row>
    <row r="777" spans="1:26" ht="15.75" customHeight="1">
      <c r="A777" s="47"/>
      <c r="B777" s="47"/>
      <c r="C777" s="47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  <c r="S777" s="47"/>
      <c r="T777" s="47"/>
      <c r="U777" s="47"/>
      <c r="V777" s="47"/>
      <c r="W777" s="47"/>
      <c r="X777" s="47"/>
      <c r="Y777" s="47"/>
      <c r="Z777" s="47"/>
    </row>
    <row r="778" spans="1:26" ht="15.75" customHeight="1">
      <c r="A778" s="47"/>
      <c r="B778" s="47"/>
      <c r="C778" s="47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  <c r="S778" s="47"/>
      <c r="T778" s="47"/>
      <c r="U778" s="47"/>
      <c r="V778" s="47"/>
      <c r="W778" s="47"/>
      <c r="X778" s="47"/>
      <c r="Y778" s="47"/>
      <c r="Z778" s="47"/>
    </row>
    <row r="779" spans="1:26" ht="15.75" customHeight="1">
      <c r="A779" s="47"/>
      <c r="B779" s="47"/>
      <c r="C779" s="47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  <c r="S779" s="47"/>
      <c r="T779" s="47"/>
      <c r="U779" s="47"/>
      <c r="V779" s="47"/>
      <c r="W779" s="47"/>
      <c r="X779" s="47"/>
      <c r="Y779" s="47"/>
      <c r="Z779" s="47"/>
    </row>
    <row r="780" spans="1:26" ht="15.75" customHeight="1">
      <c r="A780" s="47"/>
      <c r="B780" s="47"/>
      <c r="C780" s="47"/>
      <c r="D780" s="47"/>
      <c r="E780" s="47"/>
      <c r="F780" s="47"/>
      <c r="G780" s="47"/>
      <c r="H780" s="47"/>
      <c r="I780" s="47"/>
      <c r="J780" s="47"/>
      <c r="K780" s="47"/>
      <c r="L780" s="47"/>
      <c r="M780" s="47"/>
      <c r="N780" s="47"/>
      <c r="O780" s="47"/>
      <c r="P780" s="47"/>
      <c r="Q780" s="47"/>
      <c r="R780" s="47"/>
      <c r="S780" s="47"/>
      <c r="T780" s="47"/>
      <c r="U780" s="47"/>
      <c r="V780" s="47"/>
      <c r="W780" s="47"/>
      <c r="X780" s="47"/>
      <c r="Y780" s="47"/>
      <c r="Z780" s="47"/>
    </row>
    <row r="781" spans="1:26" ht="15.75" customHeight="1">
      <c r="A781" s="47"/>
      <c r="B781" s="47"/>
      <c r="C781" s="47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  <c r="S781" s="47"/>
      <c r="T781" s="47"/>
      <c r="U781" s="47"/>
      <c r="V781" s="47"/>
      <c r="W781" s="47"/>
      <c r="X781" s="47"/>
      <c r="Y781" s="47"/>
      <c r="Z781" s="47"/>
    </row>
    <row r="782" spans="1:26" ht="15.75" customHeight="1">
      <c r="A782" s="47"/>
      <c r="B782" s="47"/>
      <c r="C782" s="47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  <c r="S782" s="47"/>
      <c r="T782" s="47"/>
      <c r="U782" s="47"/>
      <c r="V782" s="47"/>
      <c r="W782" s="47"/>
      <c r="X782" s="47"/>
      <c r="Y782" s="47"/>
      <c r="Z782" s="47"/>
    </row>
    <row r="783" spans="1:26" ht="15.75" customHeight="1">
      <c r="A783" s="47"/>
      <c r="B783" s="47"/>
      <c r="C783" s="47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  <c r="S783" s="47"/>
      <c r="T783" s="47"/>
      <c r="U783" s="47"/>
      <c r="V783" s="47"/>
      <c r="W783" s="47"/>
      <c r="X783" s="47"/>
      <c r="Y783" s="47"/>
      <c r="Z783" s="47"/>
    </row>
    <row r="784" spans="1:26" ht="15.75" customHeight="1">
      <c r="A784" s="47"/>
      <c r="B784" s="47"/>
      <c r="C784" s="47"/>
      <c r="D784" s="47"/>
      <c r="E784" s="47"/>
      <c r="F784" s="47"/>
      <c r="G784" s="47"/>
      <c r="H784" s="47"/>
      <c r="I784" s="47"/>
      <c r="J784" s="47"/>
      <c r="K784" s="47"/>
      <c r="L784" s="47"/>
      <c r="M784" s="47"/>
      <c r="N784" s="47"/>
      <c r="O784" s="47"/>
      <c r="P784" s="47"/>
      <c r="Q784" s="47"/>
      <c r="R784" s="47"/>
      <c r="S784" s="47"/>
      <c r="T784" s="47"/>
      <c r="U784" s="47"/>
      <c r="V784" s="47"/>
      <c r="W784" s="47"/>
      <c r="X784" s="47"/>
      <c r="Y784" s="47"/>
      <c r="Z784" s="47"/>
    </row>
    <row r="785" spans="1:26" ht="15.75" customHeight="1">
      <c r="A785" s="47"/>
      <c r="B785" s="47"/>
      <c r="C785" s="47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  <c r="S785" s="47"/>
      <c r="T785" s="47"/>
      <c r="U785" s="47"/>
      <c r="V785" s="47"/>
      <c r="W785" s="47"/>
      <c r="X785" s="47"/>
      <c r="Y785" s="47"/>
      <c r="Z785" s="47"/>
    </row>
    <row r="786" spans="1:26" ht="15.75" customHeight="1">
      <c r="A786" s="47"/>
      <c r="B786" s="47"/>
      <c r="C786" s="47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  <c r="S786" s="47"/>
      <c r="T786" s="47"/>
      <c r="U786" s="47"/>
      <c r="V786" s="47"/>
      <c r="W786" s="47"/>
      <c r="X786" s="47"/>
      <c r="Y786" s="47"/>
      <c r="Z786" s="47"/>
    </row>
    <row r="787" spans="1:26" ht="15.75" customHeight="1">
      <c r="A787" s="47"/>
      <c r="B787" s="47"/>
      <c r="C787" s="47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  <c r="S787" s="47"/>
      <c r="T787" s="47"/>
      <c r="U787" s="47"/>
      <c r="V787" s="47"/>
      <c r="W787" s="47"/>
      <c r="X787" s="47"/>
      <c r="Y787" s="47"/>
      <c r="Z787" s="47"/>
    </row>
    <row r="788" spans="1:26" ht="15.75" customHeight="1">
      <c r="A788" s="47"/>
      <c r="B788" s="47"/>
      <c r="C788" s="47"/>
      <c r="D788" s="47"/>
      <c r="E788" s="47"/>
      <c r="F788" s="47"/>
      <c r="G788" s="47"/>
      <c r="H788" s="47"/>
      <c r="I788" s="47"/>
      <c r="J788" s="47"/>
      <c r="K788" s="47"/>
      <c r="L788" s="47"/>
      <c r="M788" s="47"/>
      <c r="N788" s="47"/>
      <c r="O788" s="47"/>
      <c r="P788" s="47"/>
      <c r="Q788" s="47"/>
      <c r="R788" s="47"/>
      <c r="S788" s="47"/>
      <c r="T788" s="47"/>
      <c r="U788" s="47"/>
      <c r="V788" s="47"/>
      <c r="W788" s="47"/>
      <c r="X788" s="47"/>
      <c r="Y788" s="47"/>
      <c r="Z788" s="47"/>
    </row>
    <row r="789" spans="1:26" ht="15.75" customHeight="1">
      <c r="A789" s="47"/>
      <c r="B789" s="47"/>
      <c r="C789" s="47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  <c r="S789" s="47"/>
      <c r="T789" s="47"/>
      <c r="U789" s="47"/>
      <c r="V789" s="47"/>
      <c r="W789" s="47"/>
      <c r="X789" s="47"/>
      <c r="Y789" s="47"/>
      <c r="Z789" s="47"/>
    </row>
    <row r="790" spans="1:26" ht="15.75" customHeight="1">
      <c r="A790" s="47"/>
      <c r="B790" s="47"/>
      <c r="C790" s="47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  <c r="S790" s="47"/>
      <c r="T790" s="47"/>
      <c r="U790" s="47"/>
      <c r="V790" s="47"/>
      <c r="W790" s="47"/>
      <c r="X790" s="47"/>
      <c r="Y790" s="47"/>
      <c r="Z790" s="47"/>
    </row>
    <row r="791" spans="1:26" ht="15.75" customHeight="1">
      <c r="A791" s="47"/>
      <c r="B791" s="47"/>
      <c r="C791" s="47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  <c r="S791" s="47"/>
      <c r="T791" s="47"/>
      <c r="U791" s="47"/>
      <c r="V791" s="47"/>
      <c r="W791" s="47"/>
      <c r="X791" s="47"/>
      <c r="Y791" s="47"/>
      <c r="Z791" s="47"/>
    </row>
    <row r="792" spans="1:26" ht="15.75" customHeight="1">
      <c r="A792" s="47"/>
      <c r="B792" s="47"/>
      <c r="C792" s="47"/>
      <c r="D792" s="47"/>
      <c r="E792" s="47"/>
      <c r="F792" s="47"/>
      <c r="G792" s="47"/>
      <c r="H792" s="47"/>
      <c r="I792" s="47"/>
      <c r="J792" s="47"/>
      <c r="K792" s="47"/>
      <c r="L792" s="47"/>
      <c r="M792" s="47"/>
      <c r="N792" s="47"/>
      <c r="O792" s="47"/>
      <c r="P792" s="47"/>
      <c r="Q792" s="47"/>
      <c r="R792" s="47"/>
      <c r="S792" s="47"/>
      <c r="T792" s="47"/>
      <c r="U792" s="47"/>
      <c r="V792" s="47"/>
      <c r="W792" s="47"/>
      <c r="X792" s="47"/>
      <c r="Y792" s="47"/>
      <c r="Z792" s="47"/>
    </row>
    <row r="793" spans="1:26" ht="15.75" customHeight="1">
      <c r="A793" s="47"/>
      <c r="B793" s="47"/>
      <c r="C793" s="47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  <c r="S793" s="47"/>
      <c r="T793" s="47"/>
      <c r="U793" s="47"/>
      <c r="V793" s="47"/>
      <c r="W793" s="47"/>
      <c r="X793" s="47"/>
      <c r="Y793" s="47"/>
      <c r="Z793" s="47"/>
    </row>
    <row r="794" spans="1:26" ht="15.75" customHeight="1">
      <c r="A794" s="47"/>
      <c r="B794" s="47"/>
      <c r="C794" s="47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  <c r="S794" s="47"/>
      <c r="T794" s="47"/>
      <c r="U794" s="47"/>
      <c r="V794" s="47"/>
      <c r="W794" s="47"/>
      <c r="X794" s="47"/>
      <c r="Y794" s="47"/>
      <c r="Z794" s="47"/>
    </row>
    <row r="795" spans="1:26" ht="15.75" customHeight="1">
      <c r="A795" s="47"/>
      <c r="B795" s="47"/>
      <c r="C795" s="47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  <c r="S795" s="47"/>
      <c r="T795" s="47"/>
      <c r="U795" s="47"/>
      <c r="V795" s="47"/>
      <c r="W795" s="47"/>
      <c r="X795" s="47"/>
      <c r="Y795" s="47"/>
      <c r="Z795" s="47"/>
    </row>
    <row r="796" spans="1:26" ht="15.75" customHeight="1">
      <c r="A796" s="47"/>
      <c r="B796" s="47"/>
      <c r="C796" s="47"/>
      <c r="D796" s="47"/>
      <c r="E796" s="47"/>
      <c r="F796" s="47"/>
      <c r="G796" s="47"/>
      <c r="H796" s="47"/>
      <c r="I796" s="47"/>
      <c r="J796" s="47"/>
      <c r="K796" s="47"/>
      <c r="L796" s="47"/>
      <c r="M796" s="47"/>
      <c r="N796" s="47"/>
      <c r="O796" s="47"/>
      <c r="P796" s="47"/>
      <c r="Q796" s="47"/>
      <c r="R796" s="47"/>
      <c r="S796" s="47"/>
      <c r="T796" s="47"/>
      <c r="U796" s="47"/>
      <c r="V796" s="47"/>
      <c r="W796" s="47"/>
      <c r="X796" s="47"/>
      <c r="Y796" s="47"/>
      <c r="Z796" s="47"/>
    </row>
    <row r="797" spans="1:26" ht="15.75" customHeight="1">
      <c r="A797" s="47"/>
      <c r="B797" s="47"/>
      <c r="C797" s="47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  <c r="S797" s="47"/>
      <c r="T797" s="47"/>
      <c r="U797" s="47"/>
      <c r="V797" s="47"/>
      <c r="W797" s="47"/>
      <c r="X797" s="47"/>
      <c r="Y797" s="47"/>
      <c r="Z797" s="47"/>
    </row>
    <row r="798" spans="1:26" ht="15.75" customHeight="1">
      <c r="A798" s="47"/>
      <c r="B798" s="47"/>
      <c r="C798" s="47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  <c r="S798" s="47"/>
      <c r="T798" s="47"/>
      <c r="U798" s="47"/>
      <c r="V798" s="47"/>
      <c r="W798" s="47"/>
      <c r="X798" s="47"/>
      <c r="Y798" s="47"/>
      <c r="Z798" s="47"/>
    </row>
    <row r="799" spans="1:26" ht="15.75" customHeight="1">
      <c r="A799" s="47"/>
      <c r="B799" s="47"/>
      <c r="C799" s="47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  <c r="S799" s="47"/>
      <c r="T799" s="47"/>
      <c r="U799" s="47"/>
      <c r="V799" s="47"/>
      <c r="W799" s="47"/>
      <c r="X799" s="47"/>
      <c r="Y799" s="47"/>
      <c r="Z799" s="47"/>
    </row>
    <row r="800" spans="1:26" ht="15.75" customHeight="1">
      <c r="A800" s="47"/>
      <c r="B800" s="47"/>
      <c r="C800" s="47"/>
      <c r="D800" s="47"/>
      <c r="E800" s="47"/>
      <c r="F800" s="47"/>
      <c r="G800" s="47"/>
      <c r="H800" s="47"/>
      <c r="I800" s="47"/>
      <c r="J800" s="47"/>
      <c r="K800" s="47"/>
      <c r="L800" s="47"/>
      <c r="M800" s="47"/>
      <c r="N800" s="47"/>
      <c r="O800" s="47"/>
      <c r="P800" s="47"/>
      <c r="Q800" s="47"/>
      <c r="R800" s="47"/>
      <c r="S800" s="47"/>
      <c r="T800" s="47"/>
      <c r="U800" s="47"/>
      <c r="V800" s="47"/>
      <c r="W800" s="47"/>
      <c r="X800" s="47"/>
      <c r="Y800" s="47"/>
      <c r="Z800" s="47"/>
    </row>
    <row r="801" spans="1:26" ht="15.75" customHeight="1">
      <c r="A801" s="47"/>
      <c r="B801" s="47"/>
      <c r="C801" s="47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  <c r="S801" s="47"/>
      <c r="T801" s="47"/>
      <c r="U801" s="47"/>
      <c r="V801" s="47"/>
      <c r="W801" s="47"/>
      <c r="X801" s="47"/>
      <c r="Y801" s="47"/>
      <c r="Z801" s="47"/>
    </row>
    <row r="802" spans="1:26" ht="15.75" customHeight="1">
      <c r="A802" s="47"/>
      <c r="B802" s="47"/>
      <c r="C802" s="47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  <c r="S802" s="47"/>
      <c r="T802" s="47"/>
      <c r="U802" s="47"/>
      <c r="V802" s="47"/>
      <c r="W802" s="47"/>
      <c r="X802" s="47"/>
      <c r="Y802" s="47"/>
      <c r="Z802" s="47"/>
    </row>
    <row r="803" spans="1:26" ht="15.75" customHeight="1">
      <c r="A803" s="47"/>
      <c r="B803" s="47"/>
      <c r="C803" s="47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  <c r="S803" s="47"/>
      <c r="T803" s="47"/>
      <c r="U803" s="47"/>
      <c r="V803" s="47"/>
      <c r="W803" s="47"/>
      <c r="X803" s="47"/>
      <c r="Y803" s="47"/>
      <c r="Z803" s="47"/>
    </row>
    <row r="804" spans="1:26" ht="15.75" customHeight="1">
      <c r="A804" s="47"/>
      <c r="B804" s="47"/>
      <c r="C804" s="47"/>
      <c r="D804" s="47"/>
      <c r="E804" s="47"/>
      <c r="F804" s="47"/>
      <c r="G804" s="47"/>
      <c r="H804" s="47"/>
      <c r="I804" s="47"/>
      <c r="J804" s="47"/>
      <c r="K804" s="47"/>
      <c r="L804" s="47"/>
      <c r="M804" s="47"/>
      <c r="N804" s="47"/>
      <c r="O804" s="47"/>
      <c r="P804" s="47"/>
      <c r="Q804" s="47"/>
      <c r="R804" s="47"/>
      <c r="S804" s="47"/>
      <c r="T804" s="47"/>
      <c r="U804" s="47"/>
      <c r="V804" s="47"/>
      <c r="W804" s="47"/>
      <c r="X804" s="47"/>
      <c r="Y804" s="47"/>
      <c r="Z804" s="47"/>
    </row>
    <row r="805" spans="1:26" ht="15.75" customHeight="1">
      <c r="A805" s="47"/>
      <c r="B805" s="47"/>
      <c r="C805" s="47"/>
      <c r="D805" s="47"/>
      <c r="E805" s="47"/>
      <c r="F805" s="47"/>
      <c r="G805" s="47"/>
      <c r="H805" s="47"/>
      <c r="I805" s="47"/>
      <c r="J805" s="47"/>
      <c r="K805" s="47"/>
      <c r="L805" s="47"/>
      <c r="M805" s="47"/>
      <c r="N805" s="47"/>
      <c r="O805" s="47"/>
      <c r="P805" s="47"/>
      <c r="Q805" s="47"/>
      <c r="R805" s="47"/>
      <c r="S805" s="47"/>
      <c r="T805" s="47"/>
      <c r="U805" s="47"/>
      <c r="V805" s="47"/>
      <c r="W805" s="47"/>
      <c r="X805" s="47"/>
      <c r="Y805" s="47"/>
      <c r="Z805" s="47"/>
    </row>
    <row r="806" spans="1:26" ht="15.75" customHeight="1">
      <c r="A806" s="47"/>
      <c r="B806" s="47"/>
      <c r="C806" s="47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  <c r="S806" s="47"/>
      <c r="T806" s="47"/>
      <c r="U806" s="47"/>
      <c r="V806" s="47"/>
      <c r="W806" s="47"/>
      <c r="X806" s="47"/>
      <c r="Y806" s="47"/>
      <c r="Z806" s="47"/>
    </row>
    <row r="807" spans="1:26" ht="15.75" customHeight="1">
      <c r="A807" s="47"/>
      <c r="B807" s="47"/>
      <c r="C807" s="47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  <c r="S807" s="47"/>
      <c r="T807" s="47"/>
      <c r="U807" s="47"/>
      <c r="V807" s="47"/>
      <c r="W807" s="47"/>
      <c r="X807" s="47"/>
      <c r="Y807" s="47"/>
      <c r="Z807" s="47"/>
    </row>
    <row r="808" spans="1:26" ht="15.75" customHeight="1">
      <c r="A808" s="47"/>
      <c r="B808" s="47"/>
      <c r="C808" s="47"/>
      <c r="D808" s="47"/>
      <c r="E808" s="47"/>
      <c r="F808" s="47"/>
      <c r="G808" s="47"/>
      <c r="H808" s="47"/>
      <c r="I808" s="47"/>
      <c r="J808" s="47"/>
      <c r="K808" s="47"/>
      <c r="L808" s="47"/>
      <c r="M808" s="47"/>
      <c r="N808" s="47"/>
      <c r="O808" s="47"/>
      <c r="P808" s="47"/>
      <c r="Q808" s="47"/>
      <c r="R808" s="47"/>
      <c r="S808" s="47"/>
      <c r="T808" s="47"/>
      <c r="U808" s="47"/>
      <c r="V808" s="47"/>
      <c r="W808" s="47"/>
      <c r="X808" s="47"/>
      <c r="Y808" s="47"/>
      <c r="Z808" s="47"/>
    </row>
    <row r="809" spans="1:26" ht="15.75" customHeight="1">
      <c r="A809" s="47"/>
      <c r="B809" s="47"/>
      <c r="C809" s="47"/>
      <c r="D809" s="47"/>
      <c r="E809" s="47"/>
      <c r="F809" s="47"/>
      <c r="G809" s="47"/>
      <c r="H809" s="47"/>
      <c r="I809" s="47"/>
      <c r="J809" s="47"/>
      <c r="K809" s="47"/>
      <c r="L809" s="47"/>
      <c r="M809" s="47"/>
      <c r="N809" s="47"/>
      <c r="O809" s="47"/>
      <c r="P809" s="47"/>
      <c r="Q809" s="47"/>
      <c r="R809" s="47"/>
      <c r="S809" s="47"/>
      <c r="T809" s="47"/>
      <c r="U809" s="47"/>
      <c r="V809" s="47"/>
      <c r="W809" s="47"/>
      <c r="X809" s="47"/>
      <c r="Y809" s="47"/>
      <c r="Z809" s="47"/>
    </row>
    <row r="810" spans="1:26" ht="15.75" customHeight="1">
      <c r="A810" s="47"/>
      <c r="B810" s="47"/>
      <c r="C810" s="47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  <c r="S810" s="47"/>
      <c r="T810" s="47"/>
      <c r="U810" s="47"/>
      <c r="V810" s="47"/>
      <c r="W810" s="47"/>
      <c r="X810" s="47"/>
      <c r="Y810" s="47"/>
      <c r="Z810" s="47"/>
    </row>
    <row r="811" spans="1:26" ht="15.75" customHeight="1">
      <c r="A811" s="47"/>
      <c r="B811" s="47"/>
      <c r="C811" s="47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  <c r="S811" s="47"/>
      <c r="T811" s="47"/>
      <c r="U811" s="47"/>
      <c r="V811" s="47"/>
      <c r="W811" s="47"/>
      <c r="X811" s="47"/>
      <c r="Y811" s="47"/>
      <c r="Z811" s="47"/>
    </row>
    <row r="812" spans="1:26" ht="15.75" customHeight="1">
      <c r="A812" s="47"/>
      <c r="B812" s="47"/>
      <c r="C812" s="47"/>
      <c r="D812" s="47"/>
      <c r="E812" s="47"/>
      <c r="F812" s="47"/>
      <c r="G812" s="47"/>
      <c r="H812" s="47"/>
      <c r="I812" s="47"/>
      <c r="J812" s="47"/>
      <c r="K812" s="47"/>
      <c r="L812" s="47"/>
      <c r="M812" s="47"/>
      <c r="N812" s="47"/>
      <c r="O812" s="47"/>
      <c r="P812" s="47"/>
      <c r="Q812" s="47"/>
      <c r="R812" s="47"/>
      <c r="S812" s="47"/>
      <c r="T812" s="47"/>
      <c r="U812" s="47"/>
      <c r="V812" s="47"/>
      <c r="W812" s="47"/>
      <c r="X812" s="47"/>
      <c r="Y812" s="47"/>
      <c r="Z812" s="47"/>
    </row>
    <row r="813" spans="1:26" ht="15.75" customHeight="1">
      <c r="A813" s="47"/>
      <c r="B813" s="47"/>
      <c r="C813" s="47"/>
      <c r="D813" s="47"/>
      <c r="E813" s="47"/>
      <c r="F813" s="47"/>
      <c r="G813" s="47"/>
      <c r="H813" s="47"/>
      <c r="I813" s="47"/>
      <c r="J813" s="47"/>
      <c r="K813" s="47"/>
      <c r="L813" s="47"/>
      <c r="M813" s="47"/>
      <c r="N813" s="47"/>
      <c r="O813" s="47"/>
      <c r="P813" s="47"/>
      <c r="Q813" s="47"/>
      <c r="R813" s="47"/>
      <c r="S813" s="47"/>
      <c r="T813" s="47"/>
      <c r="U813" s="47"/>
      <c r="V813" s="47"/>
      <c r="W813" s="47"/>
      <c r="X813" s="47"/>
      <c r="Y813" s="47"/>
      <c r="Z813" s="47"/>
    </row>
    <row r="814" spans="1:26" ht="15.75" customHeight="1">
      <c r="A814" s="47"/>
      <c r="B814" s="47"/>
      <c r="C814" s="47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  <c r="S814" s="47"/>
      <c r="T814" s="47"/>
      <c r="U814" s="47"/>
      <c r="V814" s="47"/>
      <c r="W814" s="47"/>
      <c r="X814" s="47"/>
      <c r="Y814" s="47"/>
      <c r="Z814" s="47"/>
    </row>
    <row r="815" spans="1:26" ht="15.75" customHeight="1">
      <c r="A815" s="47"/>
      <c r="B815" s="47"/>
      <c r="C815" s="47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  <c r="S815" s="47"/>
      <c r="T815" s="47"/>
      <c r="U815" s="47"/>
      <c r="V815" s="47"/>
      <c r="W815" s="47"/>
      <c r="X815" s="47"/>
      <c r="Y815" s="47"/>
      <c r="Z815" s="47"/>
    </row>
    <row r="816" spans="1:26" ht="15.75" customHeight="1">
      <c r="A816" s="47"/>
      <c r="B816" s="47"/>
      <c r="C816" s="47"/>
      <c r="D816" s="47"/>
      <c r="E816" s="47"/>
      <c r="F816" s="47"/>
      <c r="G816" s="47"/>
      <c r="H816" s="47"/>
      <c r="I816" s="47"/>
      <c r="J816" s="47"/>
      <c r="K816" s="47"/>
      <c r="L816" s="47"/>
      <c r="M816" s="47"/>
      <c r="N816" s="47"/>
      <c r="O816" s="47"/>
      <c r="P816" s="47"/>
      <c r="Q816" s="47"/>
      <c r="R816" s="47"/>
      <c r="S816" s="47"/>
      <c r="T816" s="47"/>
      <c r="U816" s="47"/>
      <c r="V816" s="47"/>
      <c r="W816" s="47"/>
      <c r="X816" s="47"/>
      <c r="Y816" s="47"/>
      <c r="Z816" s="47"/>
    </row>
    <row r="817" spans="1:26" ht="15.75" customHeight="1">
      <c r="A817" s="47"/>
      <c r="B817" s="47"/>
      <c r="C817" s="47"/>
      <c r="D817" s="47"/>
      <c r="E817" s="47"/>
      <c r="F817" s="47"/>
      <c r="G817" s="47"/>
      <c r="H817" s="47"/>
      <c r="I817" s="47"/>
      <c r="J817" s="47"/>
      <c r="K817" s="47"/>
      <c r="L817" s="47"/>
      <c r="M817" s="47"/>
      <c r="N817" s="47"/>
      <c r="O817" s="47"/>
      <c r="P817" s="47"/>
      <c r="Q817" s="47"/>
      <c r="R817" s="47"/>
      <c r="S817" s="47"/>
      <c r="T817" s="47"/>
      <c r="U817" s="47"/>
      <c r="V817" s="47"/>
      <c r="W817" s="47"/>
      <c r="X817" s="47"/>
      <c r="Y817" s="47"/>
      <c r="Z817" s="47"/>
    </row>
    <row r="818" spans="1:26" ht="15.75" customHeight="1">
      <c r="A818" s="47"/>
      <c r="B818" s="47"/>
      <c r="C818" s="47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  <c r="S818" s="47"/>
      <c r="T818" s="47"/>
      <c r="U818" s="47"/>
      <c r="V818" s="47"/>
      <c r="W818" s="47"/>
      <c r="X818" s="47"/>
      <c r="Y818" s="47"/>
      <c r="Z818" s="47"/>
    </row>
    <row r="819" spans="1:26" ht="15.75" customHeight="1">
      <c r="A819" s="47"/>
      <c r="B819" s="47"/>
      <c r="C819" s="47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  <c r="S819" s="47"/>
      <c r="T819" s="47"/>
      <c r="U819" s="47"/>
      <c r="V819" s="47"/>
      <c r="W819" s="47"/>
      <c r="X819" s="47"/>
      <c r="Y819" s="47"/>
      <c r="Z819" s="47"/>
    </row>
    <row r="820" spans="1:26" ht="15.75" customHeight="1">
      <c r="A820" s="47"/>
      <c r="B820" s="47"/>
      <c r="C820" s="47"/>
      <c r="D820" s="47"/>
      <c r="E820" s="47"/>
      <c r="F820" s="47"/>
      <c r="G820" s="47"/>
      <c r="H820" s="47"/>
      <c r="I820" s="47"/>
      <c r="J820" s="47"/>
      <c r="K820" s="47"/>
      <c r="L820" s="47"/>
      <c r="M820" s="47"/>
      <c r="N820" s="47"/>
      <c r="O820" s="47"/>
      <c r="P820" s="47"/>
      <c r="Q820" s="47"/>
      <c r="R820" s="47"/>
      <c r="S820" s="47"/>
      <c r="T820" s="47"/>
      <c r="U820" s="47"/>
      <c r="V820" s="47"/>
      <c r="W820" s="47"/>
      <c r="X820" s="47"/>
      <c r="Y820" s="47"/>
      <c r="Z820" s="47"/>
    </row>
    <row r="821" spans="1:26" ht="15.75" customHeight="1">
      <c r="A821" s="47"/>
      <c r="B821" s="47"/>
      <c r="C821" s="47"/>
      <c r="D821" s="47"/>
      <c r="E821" s="47"/>
      <c r="F821" s="47"/>
      <c r="G821" s="47"/>
      <c r="H821" s="47"/>
      <c r="I821" s="47"/>
      <c r="J821" s="47"/>
      <c r="K821" s="47"/>
      <c r="L821" s="47"/>
      <c r="M821" s="47"/>
      <c r="N821" s="47"/>
      <c r="O821" s="47"/>
      <c r="P821" s="47"/>
      <c r="Q821" s="47"/>
      <c r="R821" s="47"/>
      <c r="S821" s="47"/>
      <c r="T821" s="47"/>
      <c r="U821" s="47"/>
      <c r="V821" s="47"/>
      <c r="W821" s="47"/>
      <c r="X821" s="47"/>
      <c r="Y821" s="47"/>
      <c r="Z821" s="47"/>
    </row>
    <row r="822" spans="1:26" ht="15.75" customHeight="1">
      <c r="A822" s="47"/>
      <c r="B822" s="47"/>
      <c r="C822" s="47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  <c r="S822" s="47"/>
      <c r="T822" s="47"/>
      <c r="U822" s="47"/>
      <c r="V822" s="47"/>
      <c r="W822" s="47"/>
      <c r="X822" s="47"/>
      <c r="Y822" s="47"/>
      <c r="Z822" s="47"/>
    </row>
    <row r="823" spans="1:26" ht="15.75" customHeight="1">
      <c r="A823" s="47"/>
      <c r="B823" s="47"/>
      <c r="C823" s="47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  <c r="S823" s="47"/>
      <c r="T823" s="47"/>
      <c r="U823" s="47"/>
      <c r="V823" s="47"/>
      <c r="W823" s="47"/>
      <c r="X823" s="47"/>
      <c r="Y823" s="47"/>
      <c r="Z823" s="47"/>
    </row>
    <row r="824" spans="1:26" ht="15.75" customHeight="1">
      <c r="A824" s="47"/>
      <c r="B824" s="47"/>
      <c r="C824" s="47"/>
      <c r="D824" s="47"/>
      <c r="E824" s="47"/>
      <c r="F824" s="47"/>
      <c r="G824" s="47"/>
      <c r="H824" s="47"/>
      <c r="I824" s="47"/>
      <c r="J824" s="47"/>
      <c r="K824" s="47"/>
      <c r="L824" s="47"/>
      <c r="M824" s="47"/>
      <c r="N824" s="47"/>
      <c r="O824" s="47"/>
      <c r="P824" s="47"/>
      <c r="Q824" s="47"/>
      <c r="R824" s="47"/>
      <c r="S824" s="47"/>
      <c r="T824" s="47"/>
      <c r="U824" s="47"/>
      <c r="V824" s="47"/>
      <c r="W824" s="47"/>
      <c r="X824" s="47"/>
      <c r="Y824" s="47"/>
      <c r="Z824" s="47"/>
    </row>
    <row r="825" spans="1:26" ht="15.75" customHeight="1">
      <c r="A825" s="47"/>
      <c r="B825" s="47"/>
      <c r="C825" s="47"/>
      <c r="D825" s="47"/>
      <c r="E825" s="47"/>
      <c r="F825" s="47"/>
      <c r="G825" s="47"/>
      <c r="H825" s="47"/>
      <c r="I825" s="47"/>
      <c r="J825" s="47"/>
      <c r="K825" s="47"/>
      <c r="L825" s="47"/>
      <c r="M825" s="47"/>
      <c r="N825" s="47"/>
      <c r="O825" s="47"/>
      <c r="P825" s="47"/>
      <c r="Q825" s="47"/>
      <c r="R825" s="47"/>
      <c r="S825" s="47"/>
      <c r="T825" s="47"/>
      <c r="U825" s="47"/>
      <c r="V825" s="47"/>
      <c r="W825" s="47"/>
      <c r="X825" s="47"/>
      <c r="Y825" s="47"/>
      <c r="Z825" s="47"/>
    </row>
    <row r="826" spans="1:26" ht="15.75" customHeight="1">
      <c r="A826" s="47"/>
      <c r="B826" s="47"/>
      <c r="C826" s="47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  <c r="S826" s="47"/>
      <c r="T826" s="47"/>
      <c r="U826" s="47"/>
      <c r="V826" s="47"/>
      <c r="W826" s="47"/>
      <c r="X826" s="47"/>
      <c r="Y826" s="47"/>
      <c r="Z826" s="47"/>
    </row>
    <row r="827" spans="1:26" ht="15.75" customHeight="1">
      <c r="A827" s="47"/>
      <c r="B827" s="47"/>
      <c r="C827" s="47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  <c r="S827" s="47"/>
      <c r="T827" s="47"/>
      <c r="U827" s="47"/>
      <c r="V827" s="47"/>
      <c r="W827" s="47"/>
      <c r="X827" s="47"/>
      <c r="Y827" s="47"/>
      <c r="Z827" s="47"/>
    </row>
    <row r="828" spans="1:26" ht="15.75" customHeight="1">
      <c r="A828" s="47"/>
      <c r="B828" s="47"/>
      <c r="C828" s="47"/>
      <c r="D828" s="47"/>
      <c r="E828" s="47"/>
      <c r="F828" s="47"/>
      <c r="G828" s="47"/>
      <c r="H828" s="47"/>
      <c r="I828" s="47"/>
      <c r="J828" s="47"/>
      <c r="K828" s="47"/>
      <c r="L828" s="47"/>
      <c r="M828" s="47"/>
      <c r="N828" s="47"/>
      <c r="O828" s="47"/>
      <c r="P828" s="47"/>
      <c r="Q828" s="47"/>
      <c r="R828" s="47"/>
      <c r="S828" s="47"/>
      <c r="T828" s="47"/>
      <c r="U828" s="47"/>
      <c r="V828" s="47"/>
      <c r="W828" s="47"/>
      <c r="X828" s="47"/>
      <c r="Y828" s="47"/>
      <c r="Z828" s="47"/>
    </row>
    <row r="829" spans="1:26" ht="15.75" customHeight="1">
      <c r="A829" s="47"/>
      <c r="B829" s="47"/>
      <c r="C829" s="47"/>
      <c r="D829" s="47"/>
      <c r="E829" s="47"/>
      <c r="F829" s="47"/>
      <c r="G829" s="47"/>
      <c r="H829" s="47"/>
      <c r="I829" s="47"/>
      <c r="J829" s="47"/>
      <c r="K829" s="47"/>
      <c r="L829" s="47"/>
      <c r="M829" s="47"/>
      <c r="N829" s="47"/>
      <c r="O829" s="47"/>
      <c r="P829" s="47"/>
      <c r="Q829" s="47"/>
      <c r="R829" s="47"/>
      <c r="S829" s="47"/>
      <c r="T829" s="47"/>
      <c r="U829" s="47"/>
      <c r="V829" s="47"/>
      <c r="W829" s="47"/>
      <c r="X829" s="47"/>
      <c r="Y829" s="47"/>
      <c r="Z829" s="47"/>
    </row>
    <row r="830" spans="1:26" ht="15.75" customHeight="1">
      <c r="A830" s="47"/>
      <c r="B830" s="47"/>
      <c r="C830" s="47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  <c r="S830" s="47"/>
      <c r="T830" s="47"/>
      <c r="U830" s="47"/>
      <c r="V830" s="47"/>
      <c r="W830" s="47"/>
      <c r="X830" s="47"/>
      <c r="Y830" s="47"/>
      <c r="Z830" s="47"/>
    </row>
    <row r="831" spans="1:26" ht="15.75" customHeight="1">
      <c r="A831" s="47"/>
      <c r="B831" s="47"/>
      <c r="C831" s="47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  <c r="S831" s="47"/>
      <c r="T831" s="47"/>
      <c r="U831" s="47"/>
      <c r="V831" s="47"/>
      <c r="W831" s="47"/>
      <c r="X831" s="47"/>
      <c r="Y831" s="47"/>
      <c r="Z831" s="47"/>
    </row>
    <row r="832" spans="1:26" ht="15.75" customHeight="1">
      <c r="A832" s="47"/>
      <c r="B832" s="47"/>
      <c r="C832" s="47"/>
      <c r="D832" s="47"/>
      <c r="E832" s="47"/>
      <c r="F832" s="47"/>
      <c r="G832" s="47"/>
      <c r="H832" s="47"/>
      <c r="I832" s="47"/>
      <c r="J832" s="47"/>
      <c r="K832" s="47"/>
      <c r="L832" s="47"/>
      <c r="M832" s="47"/>
      <c r="N832" s="47"/>
      <c r="O832" s="47"/>
      <c r="P832" s="47"/>
      <c r="Q832" s="47"/>
      <c r="R832" s="47"/>
      <c r="S832" s="47"/>
      <c r="T832" s="47"/>
      <c r="U832" s="47"/>
      <c r="V832" s="47"/>
      <c r="W832" s="47"/>
      <c r="X832" s="47"/>
      <c r="Y832" s="47"/>
      <c r="Z832" s="47"/>
    </row>
    <row r="833" spans="1:26" ht="15.75" customHeight="1">
      <c r="A833" s="47"/>
      <c r="B833" s="47"/>
      <c r="C833" s="47"/>
      <c r="D833" s="47"/>
      <c r="E833" s="47"/>
      <c r="F833" s="47"/>
      <c r="G833" s="47"/>
      <c r="H833" s="47"/>
      <c r="I833" s="47"/>
      <c r="J833" s="47"/>
      <c r="K833" s="47"/>
      <c r="L833" s="47"/>
      <c r="M833" s="47"/>
      <c r="N833" s="47"/>
      <c r="O833" s="47"/>
      <c r="P833" s="47"/>
      <c r="Q833" s="47"/>
      <c r="R833" s="47"/>
      <c r="S833" s="47"/>
      <c r="T833" s="47"/>
      <c r="U833" s="47"/>
      <c r="V833" s="47"/>
      <c r="W833" s="47"/>
      <c r="X833" s="47"/>
      <c r="Y833" s="47"/>
      <c r="Z833" s="47"/>
    </row>
    <row r="834" spans="1:26" ht="15.75" customHeight="1">
      <c r="A834" s="47"/>
      <c r="B834" s="47"/>
      <c r="C834" s="47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  <c r="S834" s="47"/>
      <c r="T834" s="47"/>
      <c r="U834" s="47"/>
      <c r="V834" s="47"/>
      <c r="W834" s="47"/>
      <c r="X834" s="47"/>
      <c r="Y834" s="47"/>
      <c r="Z834" s="47"/>
    </row>
    <row r="835" spans="1:26" ht="15.75" customHeight="1">
      <c r="A835" s="47"/>
      <c r="B835" s="47"/>
      <c r="C835" s="47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  <c r="S835" s="47"/>
      <c r="T835" s="47"/>
      <c r="U835" s="47"/>
      <c r="V835" s="47"/>
      <c r="W835" s="47"/>
      <c r="X835" s="47"/>
      <c r="Y835" s="47"/>
      <c r="Z835" s="47"/>
    </row>
    <row r="836" spans="1:26" ht="15.75" customHeight="1">
      <c r="A836" s="47"/>
      <c r="B836" s="47"/>
      <c r="C836" s="47"/>
      <c r="D836" s="47"/>
      <c r="E836" s="47"/>
      <c r="F836" s="47"/>
      <c r="G836" s="47"/>
      <c r="H836" s="47"/>
      <c r="I836" s="47"/>
      <c r="J836" s="47"/>
      <c r="K836" s="47"/>
      <c r="L836" s="47"/>
      <c r="M836" s="47"/>
      <c r="N836" s="47"/>
      <c r="O836" s="47"/>
      <c r="P836" s="47"/>
      <c r="Q836" s="47"/>
      <c r="R836" s="47"/>
      <c r="S836" s="47"/>
      <c r="T836" s="47"/>
      <c r="U836" s="47"/>
      <c r="V836" s="47"/>
      <c r="W836" s="47"/>
      <c r="X836" s="47"/>
      <c r="Y836" s="47"/>
      <c r="Z836" s="47"/>
    </row>
    <row r="837" spans="1:26" ht="15.75" customHeight="1">
      <c r="A837" s="47"/>
      <c r="B837" s="47"/>
      <c r="C837" s="47"/>
      <c r="D837" s="47"/>
      <c r="E837" s="47"/>
      <c r="F837" s="47"/>
      <c r="G837" s="47"/>
      <c r="H837" s="47"/>
      <c r="I837" s="47"/>
      <c r="J837" s="47"/>
      <c r="K837" s="47"/>
      <c r="L837" s="47"/>
      <c r="M837" s="47"/>
      <c r="N837" s="47"/>
      <c r="O837" s="47"/>
      <c r="P837" s="47"/>
      <c r="Q837" s="47"/>
      <c r="R837" s="47"/>
      <c r="S837" s="47"/>
      <c r="T837" s="47"/>
      <c r="U837" s="47"/>
      <c r="V837" s="47"/>
      <c r="W837" s="47"/>
      <c r="X837" s="47"/>
      <c r="Y837" s="47"/>
      <c r="Z837" s="47"/>
    </row>
    <row r="838" spans="1:26" ht="15.75" customHeight="1">
      <c r="A838" s="47"/>
      <c r="B838" s="47"/>
      <c r="C838" s="47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  <c r="S838" s="47"/>
      <c r="T838" s="47"/>
      <c r="U838" s="47"/>
      <c r="V838" s="47"/>
      <c r="W838" s="47"/>
      <c r="X838" s="47"/>
      <c r="Y838" s="47"/>
      <c r="Z838" s="47"/>
    </row>
    <row r="839" spans="1:26" ht="15.75" customHeight="1">
      <c r="A839" s="47"/>
      <c r="B839" s="47"/>
      <c r="C839" s="47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  <c r="S839" s="47"/>
      <c r="T839" s="47"/>
      <c r="U839" s="47"/>
      <c r="V839" s="47"/>
      <c r="W839" s="47"/>
      <c r="X839" s="47"/>
      <c r="Y839" s="47"/>
      <c r="Z839" s="47"/>
    </row>
    <row r="840" spans="1:26" ht="15.75" customHeight="1">
      <c r="A840" s="47"/>
      <c r="B840" s="47"/>
      <c r="C840" s="47"/>
      <c r="D840" s="47"/>
      <c r="E840" s="47"/>
      <c r="F840" s="47"/>
      <c r="G840" s="47"/>
      <c r="H840" s="47"/>
      <c r="I840" s="47"/>
      <c r="J840" s="47"/>
      <c r="K840" s="47"/>
      <c r="L840" s="47"/>
      <c r="M840" s="47"/>
      <c r="N840" s="47"/>
      <c r="O840" s="47"/>
      <c r="P840" s="47"/>
      <c r="Q840" s="47"/>
      <c r="R840" s="47"/>
      <c r="S840" s="47"/>
      <c r="T840" s="47"/>
      <c r="U840" s="47"/>
      <c r="V840" s="47"/>
      <c r="W840" s="47"/>
      <c r="X840" s="47"/>
      <c r="Y840" s="47"/>
      <c r="Z840" s="47"/>
    </row>
    <row r="841" spans="1:26" ht="15.75" customHeight="1">
      <c r="A841" s="47"/>
      <c r="B841" s="47"/>
      <c r="C841" s="47"/>
      <c r="D841" s="47"/>
      <c r="E841" s="47"/>
      <c r="F841" s="47"/>
      <c r="G841" s="47"/>
      <c r="H841" s="47"/>
      <c r="I841" s="47"/>
      <c r="J841" s="47"/>
      <c r="K841" s="47"/>
      <c r="L841" s="47"/>
      <c r="M841" s="47"/>
      <c r="N841" s="47"/>
      <c r="O841" s="47"/>
      <c r="P841" s="47"/>
      <c r="Q841" s="47"/>
      <c r="R841" s="47"/>
      <c r="S841" s="47"/>
      <c r="T841" s="47"/>
      <c r="U841" s="47"/>
      <c r="V841" s="47"/>
      <c r="W841" s="47"/>
      <c r="X841" s="47"/>
      <c r="Y841" s="47"/>
      <c r="Z841" s="47"/>
    </row>
    <row r="842" spans="1:26" ht="15.75" customHeight="1">
      <c r="A842" s="47"/>
      <c r="B842" s="47"/>
      <c r="C842" s="47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  <c r="S842" s="47"/>
      <c r="T842" s="47"/>
      <c r="U842" s="47"/>
      <c r="V842" s="47"/>
      <c r="W842" s="47"/>
      <c r="X842" s="47"/>
      <c r="Y842" s="47"/>
      <c r="Z842" s="47"/>
    </row>
    <row r="843" spans="1:26" ht="15.75" customHeight="1">
      <c r="A843" s="47"/>
      <c r="B843" s="47"/>
      <c r="C843" s="47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  <c r="S843" s="47"/>
      <c r="T843" s="47"/>
      <c r="U843" s="47"/>
      <c r="V843" s="47"/>
      <c r="W843" s="47"/>
      <c r="X843" s="47"/>
      <c r="Y843" s="47"/>
      <c r="Z843" s="47"/>
    </row>
    <row r="844" spans="1:26" ht="15.75" customHeight="1">
      <c r="A844" s="47"/>
      <c r="B844" s="47"/>
      <c r="C844" s="47"/>
      <c r="D844" s="47"/>
      <c r="E844" s="47"/>
      <c r="F844" s="47"/>
      <c r="G844" s="47"/>
      <c r="H844" s="47"/>
      <c r="I844" s="47"/>
      <c r="J844" s="47"/>
      <c r="K844" s="47"/>
      <c r="L844" s="47"/>
      <c r="M844" s="47"/>
      <c r="N844" s="47"/>
      <c r="O844" s="47"/>
      <c r="P844" s="47"/>
      <c r="Q844" s="47"/>
      <c r="R844" s="47"/>
      <c r="S844" s="47"/>
      <c r="T844" s="47"/>
      <c r="U844" s="47"/>
      <c r="V844" s="47"/>
      <c r="W844" s="47"/>
      <c r="X844" s="47"/>
      <c r="Y844" s="47"/>
      <c r="Z844" s="47"/>
    </row>
    <row r="845" spans="1:26" ht="15.75" customHeight="1">
      <c r="A845" s="47"/>
      <c r="B845" s="47"/>
      <c r="C845" s="47"/>
      <c r="D845" s="47"/>
      <c r="E845" s="47"/>
      <c r="F845" s="47"/>
      <c r="G845" s="47"/>
      <c r="H845" s="47"/>
      <c r="I845" s="47"/>
      <c r="J845" s="47"/>
      <c r="K845" s="47"/>
      <c r="L845" s="47"/>
      <c r="M845" s="47"/>
      <c r="N845" s="47"/>
      <c r="O845" s="47"/>
      <c r="P845" s="47"/>
      <c r="Q845" s="47"/>
      <c r="R845" s="47"/>
      <c r="S845" s="47"/>
      <c r="T845" s="47"/>
      <c r="U845" s="47"/>
      <c r="V845" s="47"/>
      <c r="W845" s="47"/>
      <c r="X845" s="47"/>
      <c r="Y845" s="47"/>
      <c r="Z845" s="47"/>
    </row>
    <row r="846" spans="1:26" ht="15.75" customHeight="1">
      <c r="A846" s="47"/>
      <c r="B846" s="47"/>
      <c r="C846" s="47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  <c r="S846" s="47"/>
      <c r="T846" s="47"/>
      <c r="U846" s="47"/>
      <c r="V846" s="47"/>
      <c r="W846" s="47"/>
      <c r="X846" s="47"/>
      <c r="Y846" s="47"/>
      <c r="Z846" s="47"/>
    </row>
    <row r="847" spans="1:26" ht="15.75" customHeight="1">
      <c r="A847" s="47"/>
      <c r="B847" s="47"/>
      <c r="C847" s="47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  <c r="S847" s="47"/>
      <c r="T847" s="47"/>
      <c r="U847" s="47"/>
      <c r="V847" s="47"/>
      <c r="W847" s="47"/>
      <c r="X847" s="47"/>
      <c r="Y847" s="47"/>
      <c r="Z847" s="47"/>
    </row>
    <row r="848" spans="1:26" ht="15.75" customHeight="1">
      <c r="A848" s="47"/>
      <c r="B848" s="47"/>
      <c r="C848" s="47"/>
      <c r="D848" s="47"/>
      <c r="E848" s="47"/>
      <c r="F848" s="47"/>
      <c r="G848" s="47"/>
      <c r="H848" s="47"/>
      <c r="I848" s="47"/>
      <c r="J848" s="47"/>
      <c r="K848" s="47"/>
      <c r="L848" s="47"/>
      <c r="M848" s="47"/>
      <c r="N848" s="47"/>
      <c r="O848" s="47"/>
      <c r="P848" s="47"/>
      <c r="Q848" s="47"/>
      <c r="R848" s="47"/>
      <c r="S848" s="47"/>
      <c r="T848" s="47"/>
      <c r="U848" s="47"/>
      <c r="V848" s="47"/>
      <c r="W848" s="47"/>
      <c r="X848" s="47"/>
      <c r="Y848" s="47"/>
      <c r="Z848" s="47"/>
    </row>
    <row r="849" spans="1:26" ht="15.75" customHeight="1">
      <c r="A849" s="47"/>
      <c r="B849" s="47"/>
      <c r="C849" s="47"/>
      <c r="D849" s="47"/>
      <c r="E849" s="47"/>
      <c r="F849" s="47"/>
      <c r="G849" s="47"/>
      <c r="H849" s="47"/>
      <c r="I849" s="47"/>
      <c r="J849" s="47"/>
      <c r="K849" s="47"/>
      <c r="L849" s="47"/>
      <c r="M849" s="47"/>
      <c r="N849" s="47"/>
      <c r="O849" s="47"/>
      <c r="P849" s="47"/>
      <c r="Q849" s="47"/>
      <c r="R849" s="47"/>
      <c r="S849" s="47"/>
      <c r="T849" s="47"/>
      <c r="U849" s="47"/>
      <c r="V849" s="47"/>
      <c r="W849" s="47"/>
      <c r="X849" s="47"/>
      <c r="Y849" s="47"/>
      <c r="Z849" s="47"/>
    </row>
    <row r="850" spans="1:26" ht="15.75" customHeight="1">
      <c r="A850" s="47"/>
      <c r="B850" s="47"/>
      <c r="C850" s="47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  <c r="S850" s="47"/>
      <c r="T850" s="47"/>
      <c r="U850" s="47"/>
      <c r="V850" s="47"/>
      <c r="W850" s="47"/>
      <c r="X850" s="47"/>
      <c r="Y850" s="47"/>
      <c r="Z850" s="47"/>
    </row>
    <row r="851" spans="1:26" ht="15.75" customHeight="1">
      <c r="A851" s="47"/>
      <c r="B851" s="47"/>
      <c r="C851" s="47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  <c r="S851" s="47"/>
      <c r="T851" s="47"/>
      <c r="U851" s="47"/>
      <c r="V851" s="47"/>
      <c r="W851" s="47"/>
      <c r="X851" s="47"/>
      <c r="Y851" s="47"/>
      <c r="Z851" s="47"/>
    </row>
    <row r="852" spans="1:26" ht="15.75" customHeight="1">
      <c r="A852" s="47"/>
      <c r="B852" s="47"/>
      <c r="C852" s="47"/>
      <c r="D852" s="47"/>
      <c r="E852" s="47"/>
      <c r="F852" s="47"/>
      <c r="G852" s="47"/>
      <c r="H852" s="47"/>
      <c r="I852" s="47"/>
      <c r="J852" s="47"/>
      <c r="K852" s="47"/>
      <c r="L852" s="47"/>
      <c r="M852" s="47"/>
      <c r="N852" s="47"/>
      <c r="O852" s="47"/>
      <c r="P852" s="47"/>
      <c r="Q852" s="47"/>
      <c r="R852" s="47"/>
      <c r="S852" s="47"/>
      <c r="T852" s="47"/>
      <c r="U852" s="47"/>
      <c r="V852" s="47"/>
      <c r="W852" s="47"/>
      <c r="X852" s="47"/>
      <c r="Y852" s="47"/>
      <c r="Z852" s="47"/>
    </row>
    <row r="853" spans="1:26" ht="15.75" customHeight="1">
      <c r="A853" s="47"/>
      <c r="B853" s="47"/>
      <c r="C853" s="47"/>
      <c r="D853" s="47"/>
      <c r="E853" s="47"/>
      <c r="F853" s="47"/>
      <c r="G853" s="47"/>
      <c r="H853" s="47"/>
      <c r="I853" s="47"/>
      <c r="J853" s="47"/>
      <c r="K853" s="47"/>
      <c r="L853" s="47"/>
      <c r="M853" s="47"/>
      <c r="N853" s="47"/>
      <c r="O853" s="47"/>
      <c r="P853" s="47"/>
      <c r="Q853" s="47"/>
      <c r="R853" s="47"/>
      <c r="S853" s="47"/>
      <c r="T853" s="47"/>
      <c r="U853" s="47"/>
      <c r="V853" s="47"/>
      <c r="W853" s="47"/>
      <c r="X853" s="47"/>
      <c r="Y853" s="47"/>
      <c r="Z853" s="47"/>
    </row>
    <row r="854" spans="1:26" ht="15.75" customHeight="1">
      <c r="A854" s="47"/>
      <c r="B854" s="47"/>
      <c r="C854" s="47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  <c r="S854" s="47"/>
      <c r="T854" s="47"/>
      <c r="U854" s="47"/>
      <c r="V854" s="47"/>
      <c r="W854" s="47"/>
      <c r="X854" s="47"/>
      <c r="Y854" s="47"/>
      <c r="Z854" s="47"/>
    </row>
    <row r="855" spans="1:26" ht="15.75" customHeight="1">
      <c r="A855" s="47"/>
      <c r="B855" s="47"/>
      <c r="C855" s="47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  <c r="S855" s="47"/>
      <c r="T855" s="47"/>
      <c r="U855" s="47"/>
      <c r="V855" s="47"/>
      <c r="W855" s="47"/>
      <c r="X855" s="47"/>
      <c r="Y855" s="47"/>
      <c r="Z855" s="47"/>
    </row>
    <row r="856" spans="1:26" ht="15.75" customHeight="1">
      <c r="A856" s="47"/>
      <c r="B856" s="47"/>
      <c r="C856" s="47"/>
      <c r="D856" s="47"/>
      <c r="E856" s="47"/>
      <c r="F856" s="47"/>
      <c r="G856" s="47"/>
      <c r="H856" s="47"/>
      <c r="I856" s="47"/>
      <c r="J856" s="47"/>
      <c r="K856" s="47"/>
      <c r="L856" s="47"/>
      <c r="M856" s="47"/>
      <c r="N856" s="47"/>
      <c r="O856" s="47"/>
      <c r="P856" s="47"/>
      <c r="Q856" s="47"/>
      <c r="R856" s="47"/>
      <c r="S856" s="47"/>
      <c r="T856" s="47"/>
      <c r="U856" s="47"/>
      <c r="V856" s="47"/>
      <c r="W856" s="47"/>
      <c r="X856" s="47"/>
      <c r="Y856" s="47"/>
      <c r="Z856" s="47"/>
    </row>
    <row r="857" spans="1:26" ht="15.75" customHeight="1">
      <c r="A857" s="47"/>
      <c r="B857" s="47"/>
      <c r="C857" s="47"/>
      <c r="D857" s="47"/>
      <c r="E857" s="47"/>
      <c r="F857" s="47"/>
      <c r="G857" s="47"/>
      <c r="H857" s="47"/>
      <c r="I857" s="47"/>
      <c r="J857" s="47"/>
      <c r="K857" s="47"/>
      <c r="L857" s="47"/>
      <c r="M857" s="47"/>
      <c r="N857" s="47"/>
      <c r="O857" s="47"/>
      <c r="P857" s="47"/>
      <c r="Q857" s="47"/>
      <c r="R857" s="47"/>
      <c r="S857" s="47"/>
      <c r="T857" s="47"/>
      <c r="U857" s="47"/>
      <c r="V857" s="47"/>
      <c r="W857" s="47"/>
      <c r="X857" s="47"/>
      <c r="Y857" s="47"/>
      <c r="Z857" s="47"/>
    </row>
    <row r="858" spans="1:26" ht="15.75" customHeight="1">
      <c r="A858" s="47"/>
      <c r="B858" s="47"/>
      <c r="C858" s="47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  <c r="S858" s="47"/>
      <c r="T858" s="47"/>
      <c r="U858" s="47"/>
      <c r="V858" s="47"/>
      <c r="W858" s="47"/>
      <c r="X858" s="47"/>
      <c r="Y858" s="47"/>
      <c r="Z858" s="47"/>
    </row>
    <row r="859" spans="1:26" ht="15.75" customHeight="1">
      <c r="A859" s="47"/>
      <c r="B859" s="47"/>
      <c r="C859" s="47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  <c r="S859" s="47"/>
      <c r="T859" s="47"/>
      <c r="U859" s="47"/>
      <c r="V859" s="47"/>
      <c r="W859" s="47"/>
      <c r="X859" s="47"/>
      <c r="Y859" s="47"/>
      <c r="Z859" s="47"/>
    </row>
    <row r="860" spans="1:26" ht="15.75" customHeight="1">
      <c r="A860" s="47"/>
      <c r="B860" s="47"/>
      <c r="C860" s="47"/>
      <c r="D860" s="47"/>
      <c r="E860" s="47"/>
      <c r="F860" s="47"/>
      <c r="G860" s="47"/>
      <c r="H860" s="47"/>
      <c r="I860" s="47"/>
      <c r="J860" s="47"/>
      <c r="K860" s="47"/>
      <c r="L860" s="47"/>
      <c r="M860" s="47"/>
      <c r="N860" s="47"/>
      <c r="O860" s="47"/>
      <c r="P860" s="47"/>
      <c r="Q860" s="47"/>
      <c r="R860" s="47"/>
      <c r="S860" s="47"/>
      <c r="T860" s="47"/>
      <c r="U860" s="47"/>
      <c r="V860" s="47"/>
      <c r="W860" s="47"/>
      <c r="X860" s="47"/>
      <c r="Y860" s="47"/>
      <c r="Z860" s="47"/>
    </row>
    <row r="861" spans="1:26" ht="15.75" customHeight="1">
      <c r="A861" s="47"/>
      <c r="B861" s="47"/>
      <c r="C861" s="47"/>
      <c r="D861" s="47"/>
      <c r="E861" s="47"/>
      <c r="F861" s="47"/>
      <c r="G861" s="47"/>
      <c r="H861" s="47"/>
      <c r="I861" s="47"/>
      <c r="J861" s="47"/>
      <c r="K861" s="47"/>
      <c r="L861" s="47"/>
      <c r="M861" s="47"/>
      <c r="N861" s="47"/>
      <c r="O861" s="47"/>
      <c r="P861" s="47"/>
      <c r="Q861" s="47"/>
      <c r="R861" s="47"/>
      <c r="S861" s="47"/>
      <c r="T861" s="47"/>
      <c r="U861" s="47"/>
      <c r="V861" s="47"/>
      <c r="W861" s="47"/>
      <c r="X861" s="47"/>
      <c r="Y861" s="47"/>
      <c r="Z861" s="47"/>
    </row>
    <row r="862" spans="1:26" ht="15.75" customHeight="1">
      <c r="A862" s="47"/>
      <c r="B862" s="47"/>
      <c r="C862" s="47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  <c r="S862" s="47"/>
      <c r="T862" s="47"/>
      <c r="U862" s="47"/>
      <c r="V862" s="47"/>
      <c r="W862" s="47"/>
      <c r="X862" s="47"/>
      <c r="Y862" s="47"/>
      <c r="Z862" s="47"/>
    </row>
    <row r="863" spans="1:26" ht="15.75" customHeight="1">
      <c r="A863" s="47"/>
      <c r="B863" s="47"/>
      <c r="C863" s="47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  <c r="S863" s="47"/>
      <c r="T863" s="47"/>
      <c r="U863" s="47"/>
      <c r="V863" s="47"/>
      <c r="W863" s="47"/>
      <c r="X863" s="47"/>
      <c r="Y863" s="47"/>
      <c r="Z863" s="47"/>
    </row>
    <row r="864" spans="1:26" ht="15.75" customHeight="1">
      <c r="A864" s="47"/>
      <c r="B864" s="47"/>
      <c r="C864" s="47"/>
      <c r="D864" s="47"/>
      <c r="E864" s="47"/>
      <c r="F864" s="47"/>
      <c r="G864" s="47"/>
      <c r="H864" s="47"/>
      <c r="I864" s="47"/>
      <c r="J864" s="47"/>
      <c r="K864" s="47"/>
      <c r="L864" s="47"/>
      <c r="M864" s="47"/>
      <c r="N864" s="47"/>
      <c r="O864" s="47"/>
      <c r="P864" s="47"/>
      <c r="Q864" s="47"/>
      <c r="R864" s="47"/>
      <c r="S864" s="47"/>
      <c r="T864" s="47"/>
      <c r="U864" s="47"/>
      <c r="V864" s="47"/>
      <c r="W864" s="47"/>
      <c r="X864" s="47"/>
      <c r="Y864" s="47"/>
      <c r="Z864" s="47"/>
    </row>
    <row r="865" spans="1:26" ht="15.75" customHeight="1">
      <c r="A865" s="47"/>
      <c r="B865" s="47"/>
      <c r="C865" s="47"/>
      <c r="D865" s="47"/>
      <c r="E865" s="47"/>
      <c r="F865" s="47"/>
      <c r="G865" s="47"/>
      <c r="H865" s="47"/>
      <c r="I865" s="47"/>
      <c r="J865" s="47"/>
      <c r="K865" s="47"/>
      <c r="L865" s="47"/>
      <c r="M865" s="47"/>
      <c r="N865" s="47"/>
      <c r="O865" s="47"/>
      <c r="P865" s="47"/>
      <c r="Q865" s="47"/>
      <c r="R865" s="47"/>
      <c r="S865" s="47"/>
      <c r="T865" s="47"/>
      <c r="U865" s="47"/>
      <c r="V865" s="47"/>
      <c r="W865" s="47"/>
      <c r="X865" s="47"/>
      <c r="Y865" s="47"/>
      <c r="Z865" s="47"/>
    </row>
    <row r="866" spans="1:26" ht="15.75" customHeight="1">
      <c r="A866" s="47"/>
      <c r="B866" s="47"/>
      <c r="C866" s="47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  <c r="S866" s="47"/>
      <c r="T866" s="47"/>
      <c r="U866" s="47"/>
      <c r="V866" s="47"/>
      <c r="W866" s="47"/>
      <c r="X866" s="47"/>
      <c r="Y866" s="47"/>
      <c r="Z866" s="47"/>
    </row>
    <row r="867" spans="1:26" ht="15.75" customHeight="1">
      <c r="A867" s="47"/>
      <c r="B867" s="47"/>
      <c r="C867" s="47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  <c r="S867" s="47"/>
      <c r="T867" s="47"/>
      <c r="U867" s="47"/>
      <c r="V867" s="47"/>
      <c r="W867" s="47"/>
      <c r="X867" s="47"/>
      <c r="Y867" s="47"/>
      <c r="Z867" s="47"/>
    </row>
    <row r="868" spans="1:26" ht="15.75" customHeight="1">
      <c r="A868" s="47"/>
      <c r="B868" s="47"/>
      <c r="C868" s="47"/>
      <c r="D868" s="47"/>
      <c r="E868" s="47"/>
      <c r="F868" s="47"/>
      <c r="G868" s="47"/>
      <c r="H868" s="47"/>
      <c r="I868" s="47"/>
      <c r="J868" s="47"/>
      <c r="K868" s="47"/>
      <c r="L868" s="47"/>
      <c r="M868" s="47"/>
      <c r="N868" s="47"/>
      <c r="O868" s="47"/>
      <c r="P868" s="47"/>
      <c r="Q868" s="47"/>
      <c r="R868" s="47"/>
      <c r="S868" s="47"/>
      <c r="T868" s="47"/>
      <c r="U868" s="47"/>
      <c r="V868" s="47"/>
      <c r="W868" s="47"/>
      <c r="X868" s="47"/>
      <c r="Y868" s="47"/>
      <c r="Z868" s="47"/>
    </row>
    <row r="869" spans="1:26" ht="15.75" customHeight="1">
      <c r="A869" s="47"/>
      <c r="B869" s="47"/>
      <c r="C869" s="47"/>
      <c r="D869" s="47"/>
      <c r="E869" s="47"/>
      <c r="F869" s="47"/>
      <c r="G869" s="47"/>
      <c r="H869" s="47"/>
      <c r="I869" s="47"/>
      <c r="J869" s="47"/>
      <c r="K869" s="47"/>
      <c r="L869" s="47"/>
      <c r="M869" s="47"/>
      <c r="N869" s="47"/>
      <c r="O869" s="47"/>
      <c r="P869" s="47"/>
      <c r="Q869" s="47"/>
      <c r="R869" s="47"/>
      <c r="S869" s="47"/>
      <c r="T869" s="47"/>
      <c r="U869" s="47"/>
      <c r="V869" s="47"/>
      <c r="W869" s="47"/>
      <c r="X869" s="47"/>
      <c r="Y869" s="47"/>
      <c r="Z869" s="47"/>
    </row>
    <row r="870" spans="1:26" ht="15.75" customHeight="1">
      <c r="A870" s="47"/>
      <c r="B870" s="47"/>
      <c r="C870" s="47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  <c r="S870" s="47"/>
      <c r="T870" s="47"/>
      <c r="U870" s="47"/>
      <c r="V870" s="47"/>
      <c r="W870" s="47"/>
      <c r="X870" s="47"/>
      <c r="Y870" s="47"/>
      <c r="Z870" s="47"/>
    </row>
    <row r="871" spans="1:26" ht="15.75" customHeight="1">
      <c r="A871" s="47"/>
      <c r="B871" s="47"/>
      <c r="C871" s="47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  <c r="S871" s="47"/>
      <c r="T871" s="47"/>
      <c r="U871" s="47"/>
      <c r="V871" s="47"/>
      <c r="W871" s="47"/>
      <c r="X871" s="47"/>
      <c r="Y871" s="47"/>
      <c r="Z871" s="47"/>
    </row>
    <row r="872" spans="1:26" ht="15.75" customHeight="1">
      <c r="A872" s="47"/>
      <c r="B872" s="47"/>
      <c r="C872" s="47"/>
      <c r="D872" s="47"/>
      <c r="E872" s="47"/>
      <c r="F872" s="47"/>
      <c r="G872" s="47"/>
      <c r="H872" s="47"/>
      <c r="I872" s="47"/>
      <c r="J872" s="47"/>
      <c r="K872" s="47"/>
      <c r="L872" s="47"/>
      <c r="M872" s="47"/>
      <c r="N872" s="47"/>
      <c r="O872" s="47"/>
      <c r="P872" s="47"/>
      <c r="Q872" s="47"/>
      <c r="R872" s="47"/>
      <c r="S872" s="47"/>
      <c r="T872" s="47"/>
      <c r="U872" s="47"/>
      <c r="V872" s="47"/>
      <c r="W872" s="47"/>
      <c r="X872" s="47"/>
      <c r="Y872" s="47"/>
      <c r="Z872" s="47"/>
    </row>
    <row r="873" spans="1:26" ht="15.75" customHeight="1">
      <c r="A873" s="47"/>
      <c r="B873" s="47"/>
      <c r="C873" s="47"/>
      <c r="D873" s="47"/>
      <c r="E873" s="47"/>
      <c r="F873" s="47"/>
      <c r="G873" s="47"/>
      <c r="H873" s="47"/>
      <c r="I873" s="47"/>
      <c r="J873" s="47"/>
      <c r="K873" s="47"/>
      <c r="L873" s="47"/>
      <c r="M873" s="47"/>
      <c r="N873" s="47"/>
      <c r="O873" s="47"/>
      <c r="P873" s="47"/>
      <c r="Q873" s="47"/>
      <c r="R873" s="47"/>
      <c r="S873" s="47"/>
      <c r="T873" s="47"/>
      <c r="U873" s="47"/>
      <c r="V873" s="47"/>
      <c r="W873" s="47"/>
      <c r="X873" s="47"/>
      <c r="Y873" s="47"/>
      <c r="Z873" s="47"/>
    </row>
    <row r="874" spans="1:26" ht="15.75" customHeight="1">
      <c r="A874" s="47"/>
      <c r="B874" s="47"/>
      <c r="C874" s="47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  <c r="S874" s="47"/>
      <c r="T874" s="47"/>
      <c r="U874" s="47"/>
      <c r="V874" s="47"/>
      <c r="W874" s="47"/>
      <c r="X874" s="47"/>
      <c r="Y874" s="47"/>
      <c r="Z874" s="47"/>
    </row>
    <row r="875" spans="1:26" ht="15.75" customHeight="1">
      <c r="A875" s="47"/>
      <c r="B875" s="47"/>
      <c r="C875" s="47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  <c r="S875" s="47"/>
      <c r="T875" s="47"/>
      <c r="U875" s="47"/>
      <c r="V875" s="47"/>
      <c r="W875" s="47"/>
      <c r="X875" s="47"/>
      <c r="Y875" s="47"/>
      <c r="Z875" s="47"/>
    </row>
    <row r="876" spans="1:26" ht="15.75" customHeight="1">
      <c r="A876" s="47"/>
      <c r="B876" s="47"/>
      <c r="C876" s="47"/>
      <c r="D876" s="47"/>
      <c r="E876" s="47"/>
      <c r="F876" s="47"/>
      <c r="G876" s="47"/>
      <c r="H876" s="47"/>
      <c r="I876" s="47"/>
      <c r="J876" s="47"/>
      <c r="K876" s="47"/>
      <c r="L876" s="47"/>
      <c r="M876" s="47"/>
      <c r="N876" s="47"/>
      <c r="O876" s="47"/>
      <c r="P876" s="47"/>
      <c r="Q876" s="47"/>
      <c r="R876" s="47"/>
      <c r="S876" s="47"/>
      <c r="T876" s="47"/>
      <c r="U876" s="47"/>
      <c r="V876" s="47"/>
      <c r="W876" s="47"/>
      <c r="X876" s="47"/>
      <c r="Y876" s="47"/>
      <c r="Z876" s="47"/>
    </row>
    <row r="877" spans="1:26" ht="15.75" customHeight="1">
      <c r="A877" s="47"/>
      <c r="B877" s="47"/>
      <c r="C877" s="47"/>
      <c r="D877" s="47"/>
      <c r="E877" s="47"/>
      <c r="F877" s="47"/>
      <c r="G877" s="47"/>
      <c r="H877" s="47"/>
      <c r="I877" s="47"/>
      <c r="J877" s="47"/>
      <c r="K877" s="47"/>
      <c r="L877" s="47"/>
      <c r="M877" s="47"/>
      <c r="N877" s="47"/>
      <c r="O877" s="47"/>
      <c r="P877" s="47"/>
      <c r="Q877" s="47"/>
      <c r="R877" s="47"/>
      <c r="S877" s="47"/>
      <c r="T877" s="47"/>
      <c r="U877" s="47"/>
      <c r="V877" s="47"/>
      <c r="W877" s="47"/>
      <c r="X877" s="47"/>
      <c r="Y877" s="47"/>
      <c r="Z877" s="47"/>
    </row>
    <row r="878" spans="1:26" ht="15.75" customHeight="1">
      <c r="A878" s="47"/>
      <c r="B878" s="47"/>
      <c r="C878" s="47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  <c r="S878" s="47"/>
      <c r="T878" s="47"/>
      <c r="U878" s="47"/>
      <c r="V878" s="47"/>
      <c r="W878" s="47"/>
      <c r="X878" s="47"/>
      <c r="Y878" s="47"/>
      <c r="Z878" s="47"/>
    </row>
    <row r="879" spans="1:26" ht="15.75" customHeight="1">
      <c r="A879" s="47"/>
      <c r="B879" s="47"/>
      <c r="C879" s="47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  <c r="S879" s="47"/>
      <c r="T879" s="47"/>
      <c r="U879" s="47"/>
      <c r="V879" s="47"/>
      <c r="W879" s="47"/>
      <c r="X879" s="47"/>
      <c r="Y879" s="47"/>
      <c r="Z879" s="47"/>
    </row>
    <row r="880" spans="1:26" ht="15.75" customHeight="1">
      <c r="A880" s="47"/>
      <c r="B880" s="47"/>
      <c r="C880" s="47"/>
      <c r="D880" s="47"/>
      <c r="E880" s="47"/>
      <c r="F880" s="47"/>
      <c r="G880" s="47"/>
      <c r="H880" s="47"/>
      <c r="I880" s="47"/>
      <c r="J880" s="47"/>
      <c r="K880" s="47"/>
      <c r="L880" s="47"/>
      <c r="M880" s="47"/>
      <c r="N880" s="47"/>
      <c r="O880" s="47"/>
      <c r="P880" s="47"/>
      <c r="Q880" s="47"/>
      <c r="R880" s="47"/>
      <c r="S880" s="47"/>
      <c r="T880" s="47"/>
      <c r="U880" s="47"/>
      <c r="V880" s="47"/>
      <c r="W880" s="47"/>
      <c r="X880" s="47"/>
      <c r="Y880" s="47"/>
      <c r="Z880" s="47"/>
    </row>
    <row r="881" spans="1:26" ht="15.75" customHeight="1">
      <c r="A881" s="47"/>
      <c r="B881" s="47"/>
      <c r="C881" s="47"/>
      <c r="D881" s="47"/>
      <c r="E881" s="47"/>
      <c r="F881" s="47"/>
      <c r="G881" s="47"/>
      <c r="H881" s="47"/>
      <c r="I881" s="47"/>
      <c r="J881" s="47"/>
      <c r="K881" s="47"/>
      <c r="L881" s="47"/>
      <c r="M881" s="47"/>
      <c r="N881" s="47"/>
      <c r="O881" s="47"/>
      <c r="P881" s="47"/>
      <c r="Q881" s="47"/>
      <c r="R881" s="47"/>
      <c r="S881" s="47"/>
      <c r="T881" s="47"/>
      <c r="U881" s="47"/>
      <c r="V881" s="47"/>
      <c r="W881" s="47"/>
      <c r="X881" s="47"/>
      <c r="Y881" s="47"/>
      <c r="Z881" s="47"/>
    </row>
    <row r="882" spans="1:26" ht="15.75" customHeight="1">
      <c r="A882" s="47"/>
      <c r="B882" s="47"/>
      <c r="C882" s="47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  <c r="S882" s="47"/>
      <c r="T882" s="47"/>
      <c r="U882" s="47"/>
      <c r="V882" s="47"/>
      <c r="W882" s="47"/>
      <c r="X882" s="47"/>
      <c r="Y882" s="47"/>
      <c r="Z882" s="47"/>
    </row>
    <row r="883" spans="1:26" ht="15.75" customHeight="1">
      <c r="A883" s="47"/>
      <c r="B883" s="47"/>
      <c r="C883" s="47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  <c r="S883" s="47"/>
      <c r="T883" s="47"/>
      <c r="U883" s="47"/>
      <c r="V883" s="47"/>
      <c r="W883" s="47"/>
      <c r="X883" s="47"/>
      <c r="Y883" s="47"/>
      <c r="Z883" s="47"/>
    </row>
    <row r="884" spans="1:26" ht="15.75" customHeight="1">
      <c r="A884" s="47"/>
      <c r="B884" s="47"/>
      <c r="C884" s="47"/>
      <c r="D884" s="47"/>
      <c r="E884" s="47"/>
      <c r="F884" s="47"/>
      <c r="G884" s="47"/>
      <c r="H884" s="47"/>
      <c r="I884" s="47"/>
      <c r="J884" s="47"/>
      <c r="K884" s="47"/>
      <c r="L884" s="47"/>
      <c r="M884" s="47"/>
      <c r="N884" s="47"/>
      <c r="O884" s="47"/>
      <c r="P884" s="47"/>
      <c r="Q884" s="47"/>
      <c r="R884" s="47"/>
      <c r="S884" s="47"/>
      <c r="T884" s="47"/>
      <c r="U884" s="47"/>
      <c r="V884" s="47"/>
      <c r="W884" s="47"/>
      <c r="X884" s="47"/>
      <c r="Y884" s="47"/>
      <c r="Z884" s="47"/>
    </row>
    <row r="885" spans="1:26" ht="15.75" customHeight="1">
      <c r="A885" s="47"/>
      <c r="B885" s="47"/>
      <c r="C885" s="47"/>
      <c r="D885" s="47"/>
      <c r="E885" s="47"/>
      <c r="F885" s="47"/>
      <c r="G885" s="47"/>
      <c r="H885" s="47"/>
      <c r="I885" s="47"/>
      <c r="J885" s="47"/>
      <c r="K885" s="47"/>
      <c r="L885" s="47"/>
      <c r="M885" s="47"/>
      <c r="N885" s="47"/>
      <c r="O885" s="47"/>
      <c r="P885" s="47"/>
      <c r="Q885" s="47"/>
      <c r="R885" s="47"/>
      <c r="S885" s="47"/>
      <c r="T885" s="47"/>
      <c r="U885" s="47"/>
      <c r="V885" s="47"/>
      <c r="W885" s="47"/>
      <c r="X885" s="47"/>
      <c r="Y885" s="47"/>
      <c r="Z885" s="47"/>
    </row>
    <row r="886" spans="1:26" ht="15.75" customHeight="1">
      <c r="A886" s="47"/>
      <c r="B886" s="47"/>
      <c r="C886" s="47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  <c r="S886" s="47"/>
      <c r="T886" s="47"/>
      <c r="U886" s="47"/>
      <c r="V886" s="47"/>
      <c r="W886" s="47"/>
      <c r="X886" s="47"/>
      <c r="Y886" s="47"/>
      <c r="Z886" s="47"/>
    </row>
    <row r="887" spans="1:26" ht="15.75" customHeight="1">
      <c r="A887" s="47"/>
      <c r="B887" s="47"/>
      <c r="C887" s="47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  <c r="S887" s="47"/>
      <c r="T887" s="47"/>
      <c r="U887" s="47"/>
      <c r="V887" s="47"/>
      <c r="W887" s="47"/>
      <c r="X887" s="47"/>
      <c r="Y887" s="47"/>
      <c r="Z887" s="47"/>
    </row>
    <row r="888" spans="1:26" ht="15.75" customHeight="1">
      <c r="A888" s="47"/>
      <c r="B888" s="47"/>
      <c r="C888" s="47"/>
      <c r="D888" s="47"/>
      <c r="E888" s="47"/>
      <c r="F888" s="47"/>
      <c r="G888" s="47"/>
      <c r="H888" s="47"/>
      <c r="I888" s="47"/>
      <c r="J888" s="47"/>
      <c r="K888" s="47"/>
      <c r="L888" s="47"/>
      <c r="M888" s="47"/>
      <c r="N888" s="47"/>
      <c r="O888" s="47"/>
      <c r="P888" s="47"/>
      <c r="Q888" s="47"/>
      <c r="R888" s="47"/>
      <c r="S888" s="47"/>
      <c r="T888" s="47"/>
      <c r="U888" s="47"/>
      <c r="V888" s="47"/>
      <c r="W888" s="47"/>
      <c r="X888" s="47"/>
      <c r="Y888" s="47"/>
      <c r="Z888" s="47"/>
    </row>
    <row r="889" spans="1:26" ht="15.75" customHeight="1">
      <c r="A889" s="47"/>
      <c r="B889" s="47"/>
      <c r="C889" s="47"/>
      <c r="D889" s="47"/>
      <c r="E889" s="47"/>
      <c r="F889" s="47"/>
      <c r="G889" s="47"/>
      <c r="H889" s="47"/>
      <c r="I889" s="47"/>
      <c r="J889" s="47"/>
      <c r="K889" s="47"/>
      <c r="L889" s="47"/>
      <c r="M889" s="47"/>
      <c r="N889" s="47"/>
      <c r="O889" s="47"/>
      <c r="P889" s="47"/>
      <c r="Q889" s="47"/>
      <c r="R889" s="47"/>
      <c r="S889" s="47"/>
      <c r="T889" s="47"/>
      <c r="U889" s="47"/>
      <c r="V889" s="47"/>
      <c r="W889" s="47"/>
      <c r="X889" s="47"/>
      <c r="Y889" s="47"/>
      <c r="Z889" s="47"/>
    </row>
    <row r="890" spans="1:26" ht="15.75" customHeight="1">
      <c r="A890" s="47"/>
      <c r="B890" s="47"/>
      <c r="C890" s="47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  <c r="S890" s="47"/>
      <c r="T890" s="47"/>
      <c r="U890" s="47"/>
      <c r="V890" s="47"/>
      <c r="W890" s="47"/>
      <c r="X890" s="47"/>
      <c r="Y890" s="47"/>
      <c r="Z890" s="47"/>
    </row>
    <row r="891" spans="1:26" ht="15.75" customHeight="1">
      <c r="A891" s="47"/>
      <c r="B891" s="47"/>
      <c r="C891" s="47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  <c r="S891" s="47"/>
      <c r="T891" s="47"/>
      <c r="U891" s="47"/>
      <c r="V891" s="47"/>
      <c r="W891" s="47"/>
      <c r="X891" s="47"/>
      <c r="Y891" s="47"/>
      <c r="Z891" s="47"/>
    </row>
    <row r="892" spans="1:26" ht="15.75" customHeight="1">
      <c r="A892" s="47"/>
      <c r="B892" s="47"/>
      <c r="C892" s="47"/>
      <c r="D892" s="47"/>
      <c r="E892" s="47"/>
      <c r="F892" s="47"/>
      <c r="G892" s="47"/>
      <c r="H892" s="47"/>
      <c r="I892" s="47"/>
      <c r="J892" s="47"/>
      <c r="K892" s="47"/>
      <c r="L892" s="47"/>
      <c r="M892" s="47"/>
      <c r="N892" s="47"/>
      <c r="O892" s="47"/>
      <c r="P892" s="47"/>
      <c r="Q892" s="47"/>
      <c r="R892" s="47"/>
      <c r="S892" s="47"/>
      <c r="T892" s="47"/>
      <c r="U892" s="47"/>
      <c r="V892" s="47"/>
      <c r="W892" s="47"/>
      <c r="X892" s="47"/>
      <c r="Y892" s="47"/>
      <c r="Z892" s="47"/>
    </row>
    <row r="893" spans="1:26" ht="15.75" customHeight="1">
      <c r="A893" s="47"/>
      <c r="B893" s="47"/>
      <c r="C893" s="47"/>
      <c r="D893" s="47"/>
      <c r="E893" s="47"/>
      <c r="F893" s="47"/>
      <c r="G893" s="47"/>
      <c r="H893" s="47"/>
      <c r="I893" s="47"/>
      <c r="J893" s="47"/>
      <c r="K893" s="47"/>
      <c r="L893" s="47"/>
      <c r="M893" s="47"/>
      <c r="N893" s="47"/>
      <c r="O893" s="47"/>
      <c r="P893" s="47"/>
      <c r="Q893" s="47"/>
      <c r="R893" s="47"/>
      <c r="S893" s="47"/>
      <c r="T893" s="47"/>
      <c r="U893" s="47"/>
      <c r="V893" s="47"/>
      <c r="W893" s="47"/>
      <c r="X893" s="47"/>
      <c r="Y893" s="47"/>
      <c r="Z893" s="47"/>
    </row>
    <row r="894" spans="1:26" ht="15.75" customHeight="1">
      <c r="A894" s="47"/>
      <c r="B894" s="47"/>
      <c r="C894" s="47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  <c r="S894" s="47"/>
      <c r="T894" s="47"/>
      <c r="U894" s="47"/>
      <c r="V894" s="47"/>
      <c r="W894" s="47"/>
      <c r="X894" s="47"/>
      <c r="Y894" s="47"/>
      <c r="Z894" s="47"/>
    </row>
    <row r="895" spans="1:26" ht="15.75" customHeight="1">
      <c r="A895" s="47"/>
      <c r="B895" s="47"/>
      <c r="C895" s="47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  <c r="S895" s="47"/>
      <c r="T895" s="47"/>
      <c r="U895" s="47"/>
      <c r="V895" s="47"/>
      <c r="W895" s="47"/>
      <c r="X895" s="47"/>
      <c r="Y895" s="47"/>
      <c r="Z895" s="47"/>
    </row>
    <row r="896" spans="1:26" ht="15.75" customHeight="1">
      <c r="A896" s="47"/>
      <c r="B896" s="47"/>
      <c r="C896" s="47"/>
      <c r="D896" s="47"/>
      <c r="E896" s="47"/>
      <c r="F896" s="47"/>
      <c r="G896" s="47"/>
      <c r="H896" s="47"/>
      <c r="I896" s="47"/>
      <c r="J896" s="47"/>
      <c r="K896" s="47"/>
      <c r="L896" s="47"/>
      <c r="M896" s="47"/>
      <c r="N896" s="47"/>
      <c r="O896" s="47"/>
      <c r="P896" s="47"/>
      <c r="Q896" s="47"/>
      <c r="R896" s="47"/>
      <c r="S896" s="47"/>
      <c r="T896" s="47"/>
      <c r="U896" s="47"/>
      <c r="V896" s="47"/>
      <c r="W896" s="47"/>
      <c r="X896" s="47"/>
      <c r="Y896" s="47"/>
      <c r="Z896" s="47"/>
    </row>
    <row r="897" spans="1:26" ht="15.75" customHeight="1">
      <c r="A897" s="47"/>
      <c r="B897" s="47"/>
      <c r="C897" s="47"/>
      <c r="D897" s="47"/>
      <c r="E897" s="47"/>
      <c r="F897" s="47"/>
      <c r="G897" s="47"/>
      <c r="H897" s="47"/>
      <c r="I897" s="47"/>
      <c r="J897" s="47"/>
      <c r="K897" s="47"/>
      <c r="L897" s="47"/>
      <c r="M897" s="47"/>
      <c r="N897" s="47"/>
      <c r="O897" s="47"/>
      <c r="P897" s="47"/>
      <c r="Q897" s="47"/>
      <c r="R897" s="47"/>
      <c r="S897" s="47"/>
      <c r="T897" s="47"/>
      <c r="U897" s="47"/>
      <c r="V897" s="47"/>
      <c r="W897" s="47"/>
      <c r="X897" s="47"/>
      <c r="Y897" s="47"/>
      <c r="Z897" s="47"/>
    </row>
    <row r="898" spans="1:26" ht="15.75" customHeight="1">
      <c r="A898" s="47"/>
      <c r="B898" s="47"/>
      <c r="C898" s="47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  <c r="S898" s="47"/>
      <c r="T898" s="47"/>
      <c r="U898" s="47"/>
      <c r="V898" s="47"/>
      <c r="W898" s="47"/>
      <c r="X898" s="47"/>
      <c r="Y898" s="47"/>
      <c r="Z898" s="47"/>
    </row>
    <row r="899" spans="1:26" ht="15.75" customHeight="1">
      <c r="A899" s="47"/>
      <c r="B899" s="47"/>
      <c r="C899" s="47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  <c r="S899" s="47"/>
      <c r="T899" s="47"/>
      <c r="U899" s="47"/>
      <c r="V899" s="47"/>
      <c r="W899" s="47"/>
      <c r="X899" s="47"/>
      <c r="Y899" s="47"/>
      <c r="Z899" s="47"/>
    </row>
    <row r="900" spans="1:26" ht="15.75" customHeight="1">
      <c r="A900" s="47"/>
      <c r="B900" s="47"/>
      <c r="C900" s="47"/>
      <c r="D900" s="47"/>
      <c r="E900" s="47"/>
      <c r="F900" s="47"/>
      <c r="G900" s="47"/>
      <c r="H900" s="47"/>
      <c r="I900" s="47"/>
      <c r="J900" s="47"/>
      <c r="K900" s="47"/>
      <c r="L900" s="47"/>
      <c r="M900" s="47"/>
      <c r="N900" s="47"/>
      <c r="O900" s="47"/>
      <c r="P900" s="47"/>
      <c r="Q900" s="47"/>
      <c r="R900" s="47"/>
      <c r="S900" s="47"/>
      <c r="T900" s="47"/>
      <c r="U900" s="47"/>
      <c r="V900" s="47"/>
      <c r="W900" s="47"/>
      <c r="X900" s="47"/>
      <c r="Y900" s="47"/>
      <c r="Z900" s="47"/>
    </row>
    <row r="901" spans="1:26" ht="15.75" customHeight="1">
      <c r="A901" s="47"/>
      <c r="B901" s="47"/>
      <c r="C901" s="47"/>
      <c r="D901" s="47"/>
      <c r="E901" s="47"/>
      <c r="F901" s="47"/>
      <c r="G901" s="47"/>
      <c r="H901" s="47"/>
      <c r="I901" s="47"/>
      <c r="J901" s="47"/>
      <c r="K901" s="47"/>
      <c r="L901" s="47"/>
      <c r="M901" s="47"/>
      <c r="N901" s="47"/>
      <c r="O901" s="47"/>
      <c r="P901" s="47"/>
      <c r="Q901" s="47"/>
      <c r="R901" s="47"/>
      <c r="S901" s="47"/>
      <c r="T901" s="47"/>
      <c r="U901" s="47"/>
      <c r="V901" s="47"/>
      <c r="W901" s="47"/>
      <c r="X901" s="47"/>
      <c r="Y901" s="47"/>
      <c r="Z901" s="47"/>
    </row>
    <row r="902" spans="1:26" ht="15.75" customHeight="1">
      <c r="A902" s="47"/>
      <c r="B902" s="47"/>
      <c r="C902" s="47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  <c r="S902" s="47"/>
      <c r="T902" s="47"/>
      <c r="U902" s="47"/>
      <c r="V902" s="47"/>
      <c r="W902" s="47"/>
      <c r="X902" s="47"/>
      <c r="Y902" s="47"/>
      <c r="Z902" s="47"/>
    </row>
    <row r="903" spans="1:26" ht="15.75" customHeight="1">
      <c r="A903" s="47"/>
      <c r="B903" s="47"/>
      <c r="C903" s="47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  <c r="S903" s="47"/>
      <c r="T903" s="47"/>
      <c r="U903" s="47"/>
      <c r="V903" s="47"/>
      <c r="W903" s="47"/>
      <c r="X903" s="47"/>
      <c r="Y903" s="47"/>
      <c r="Z903" s="47"/>
    </row>
    <row r="904" spans="1:26" ht="15.75" customHeight="1">
      <c r="A904" s="47"/>
      <c r="B904" s="47"/>
      <c r="C904" s="47"/>
      <c r="D904" s="47"/>
      <c r="E904" s="47"/>
      <c r="F904" s="47"/>
      <c r="G904" s="47"/>
      <c r="H904" s="47"/>
      <c r="I904" s="47"/>
      <c r="J904" s="47"/>
      <c r="K904" s="47"/>
      <c r="L904" s="47"/>
      <c r="M904" s="47"/>
      <c r="N904" s="47"/>
      <c r="O904" s="47"/>
      <c r="P904" s="47"/>
      <c r="Q904" s="47"/>
      <c r="R904" s="47"/>
      <c r="S904" s="47"/>
      <c r="T904" s="47"/>
      <c r="U904" s="47"/>
      <c r="V904" s="47"/>
      <c r="W904" s="47"/>
      <c r="X904" s="47"/>
      <c r="Y904" s="47"/>
      <c r="Z904" s="47"/>
    </row>
    <row r="905" spans="1:26" ht="15.75" customHeight="1">
      <c r="A905" s="47"/>
      <c r="B905" s="47"/>
      <c r="C905" s="47"/>
      <c r="D905" s="47"/>
      <c r="E905" s="47"/>
      <c r="F905" s="47"/>
      <c r="G905" s="47"/>
      <c r="H905" s="47"/>
      <c r="I905" s="47"/>
      <c r="J905" s="47"/>
      <c r="K905" s="47"/>
      <c r="L905" s="47"/>
      <c r="M905" s="47"/>
      <c r="N905" s="47"/>
      <c r="O905" s="47"/>
      <c r="P905" s="47"/>
      <c r="Q905" s="47"/>
      <c r="R905" s="47"/>
      <c r="S905" s="47"/>
      <c r="T905" s="47"/>
      <c r="U905" s="47"/>
      <c r="V905" s="47"/>
      <c r="W905" s="47"/>
      <c r="X905" s="47"/>
      <c r="Y905" s="47"/>
      <c r="Z905" s="47"/>
    </row>
    <row r="906" spans="1:26" ht="15.75" customHeight="1">
      <c r="A906" s="47"/>
      <c r="B906" s="47"/>
      <c r="C906" s="47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  <c r="S906" s="47"/>
      <c r="T906" s="47"/>
      <c r="U906" s="47"/>
      <c r="V906" s="47"/>
      <c r="W906" s="47"/>
      <c r="X906" s="47"/>
      <c r="Y906" s="47"/>
      <c r="Z906" s="47"/>
    </row>
    <row r="907" spans="1:26" ht="15.75" customHeight="1">
      <c r="A907" s="47"/>
      <c r="B907" s="47"/>
      <c r="C907" s="47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  <c r="S907" s="47"/>
      <c r="T907" s="47"/>
      <c r="U907" s="47"/>
      <c r="V907" s="47"/>
      <c r="W907" s="47"/>
      <c r="X907" s="47"/>
      <c r="Y907" s="47"/>
      <c r="Z907" s="47"/>
    </row>
    <row r="908" spans="1:26" ht="15.75" customHeight="1">
      <c r="A908" s="47"/>
      <c r="B908" s="47"/>
      <c r="C908" s="47"/>
      <c r="D908" s="47"/>
      <c r="E908" s="47"/>
      <c r="F908" s="47"/>
      <c r="G908" s="47"/>
      <c r="H908" s="47"/>
      <c r="I908" s="47"/>
      <c r="J908" s="47"/>
      <c r="K908" s="47"/>
      <c r="L908" s="47"/>
      <c r="M908" s="47"/>
      <c r="N908" s="47"/>
      <c r="O908" s="47"/>
      <c r="P908" s="47"/>
      <c r="Q908" s="47"/>
      <c r="R908" s="47"/>
      <c r="S908" s="47"/>
      <c r="T908" s="47"/>
      <c r="U908" s="47"/>
      <c r="V908" s="47"/>
      <c r="W908" s="47"/>
      <c r="X908" s="47"/>
      <c r="Y908" s="47"/>
      <c r="Z908" s="47"/>
    </row>
    <row r="909" spans="1:26" ht="15.75" customHeight="1">
      <c r="A909" s="47"/>
      <c r="B909" s="47"/>
      <c r="C909" s="47"/>
      <c r="D909" s="47"/>
      <c r="E909" s="47"/>
      <c r="F909" s="47"/>
      <c r="G909" s="47"/>
      <c r="H909" s="47"/>
      <c r="I909" s="47"/>
      <c r="J909" s="47"/>
      <c r="K909" s="47"/>
      <c r="L909" s="47"/>
      <c r="M909" s="47"/>
      <c r="N909" s="47"/>
      <c r="O909" s="47"/>
      <c r="P909" s="47"/>
      <c r="Q909" s="47"/>
      <c r="R909" s="47"/>
      <c r="S909" s="47"/>
      <c r="T909" s="47"/>
      <c r="U909" s="47"/>
      <c r="V909" s="47"/>
      <c r="W909" s="47"/>
      <c r="X909" s="47"/>
      <c r="Y909" s="47"/>
      <c r="Z909" s="47"/>
    </row>
    <row r="910" spans="1:26" ht="15.75" customHeight="1">
      <c r="A910" s="47"/>
      <c r="B910" s="47"/>
      <c r="C910" s="47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  <c r="S910" s="47"/>
      <c r="T910" s="47"/>
      <c r="U910" s="47"/>
      <c r="V910" s="47"/>
      <c r="W910" s="47"/>
      <c r="X910" s="47"/>
      <c r="Y910" s="47"/>
      <c r="Z910" s="47"/>
    </row>
    <row r="911" spans="1:26" ht="15.75" customHeight="1">
      <c r="A911" s="47"/>
      <c r="B911" s="47"/>
      <c r="C911" s="47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  <c r="S911" s="47"/>
      <c r="T911" s="47"/>
      <c r="U911" s="47"/>
      <c r="V911" s="47"/>
      <c r="W911" s="47"/>
      <c r="X911" s="47"/>
      <c r="Y911" s="47"/>
      <c r="Z911" s="47"/>
    </row>
    <row r="912" spans="1:26" ht="15.75" customHeight="1">
      <c r="A912" s="47"/>
      <c r="B912" s="47"/>
      <c r="C912" s="47"/>
      <c r="D912" s="47"/>
      <c r="E912" s="47"/>
      <c r="F912" s="47"/>
      <c r="G912" s="47"/>
      <c r="H912" s="47"/>
      <c r="I912" s="47"/>
      <c r="J912" s="47"/>
      <c r="K912" s="47"/>
      <c r="L912" s="47"/>
      <c r="M912" s="47"/>
      <c r="N912" s="47"/>
      <c r="O912" s="47"/>
      <c r="P912" s="47"/>
      <c r="Q912" s="47"/>
      <c r="R912" s="47"/>
      <c r="S912" s="47"/>
      <c r="T912" s="47"/>
      <c r="U912" s="47"/>
      <c r="V912" s="47"/>
      <c r="W912" s="47"/>
      <c r="X912" s="47"/>
      <c r="Y912" s="47"/>
      <c r="Z912" s="47"/>
    </row>
    <row r="913" spans="1:26" ht="15.75" customHeight="1">
      <c r="A913" s="47"/>
      <c r="B913" s="47"/>
      <c r="C913" s="47"/>
      <c r="D913" s="47"/>
      <c r="E913" s="47"/>
      <c r="F913" s="47"/>
      <c r="G913" s="47"/>
      <c r="H913" s="47"/>
      <c r="I913" s="47"/>
      <c r="J913" s="47"/>
      <c r="K913" s="47"/>
      <c r="L913" s="47"/>
      <c r="M913" s="47"/>
      <c r="N913" s="47"/>
      <c r="O913" s="47"/>
      <c r="P913" s="47"/>
      <c r="Q913" s="47"/>
      <c r="R913" s="47"/>
      <c r="S913" s="47"/>
      <c r="T913" s="47"/>
      <c r="U913" s="47"/>
      <c r="V913" s="47"/>
      <c r="W913" s="47"/>
      <c r="X913" s="47"/>
      <c r="Y913" s="47"/>
      <c r="Z913" s="47"/>
    </row>
    <row r="914" spans="1:26" ht="15.75" customHeight="1">
      <c r="A914" s="47"/>
      <c r="B914" s="47"/>
      <c r="C914" s="47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  <c r="S914" s="47"/>
      <c r="T914" s="47"/>
      <c r="U914" s="47"/>
      <c r="V914" s="47"/>
      <c r="W914" s="47"/>
      <c r="X914" s="47"/>
      <c r="Y914" s="47"/>
      <c r="Z914" s="47"/>
    </row>
    <row r="915" spans="1:26" ht="15.75" customHeight="1">
      <c r="A915" s="47"/>
      <c r="B915" s="47"/>
      <c r="C915" s="47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  <c r="S915" s="47"/>
      <c r="T915" s="47"/>
      <c r="U915" s="47"/>
      <c r="V915" s="47"/>
      <c r="W915" s="47"/>
      <c r="X915" s="47"/>
      <c r="Y915" s="47"/>
      <c r="Z915" s="47"/>
    </row>
    <row r="916" spans="1:26" ht="15.75" customHeight="1">
      <c r="A916" s="47"/>
      <c r="B916" s="47"/>
      <c r="C916" s="47"/>
      <c r="D916" s="47"/>
      <c r="E916" s="47"/>
      <c r="F916" s="47"/>
      <c r="G916" s="47"/>
      <c r="H916" s="47"/>
      <c r="I916" s="47"/>
      <c r="J916" s="47"/>
      <c r="K916" s="47"/>
      <c r="L916" s="47"/>
      <c r="M916" s="47"/>
      <c r="N916" s="47"/>
      <c r="O916" s="47"/>
      <c r="P916" s="47"/>
      <c r="Q916" s="47"/>
      <c r="R916" s="47"/>
      <c r="S916" s="47"/>
      <c r="T916" s="47"/>
      <c r="U916" s="47"/>
      <c r="V916" s="47"/>
      <c r="W916" s="47"/>
      <c r="X916" s="47"/>
      <c r="Y916" s="47"/>
      <c r="Z916" s="47"/>
    </row>
    <row r="917" spans="1:26" ht="15.75" customHeight="1">
      <c r="A917" s="47"/>
      <c r="B917" s="47"/>
      <c r="C917" s="47"/>
      <c r="D917" s="47"/>
      <c r="E917" s="47"/>
      <c r="F917" s="47"/>
      <c r="G917" s="47"/>
      <c r="H917" s="47"/>
      <c r="I917" s="47"/>
      <c r="J917" s="47"/>
      <c r="K917" s="47"/>
      <c r="L917" s="47"/>
      <c r="M917" s="47"/>
      <c r="N917" s="47"/>
      <c r="O917" s="47"/>
      <c r="P917" s="47"/>
      <c r="Q917" s="47"/>
      <c r="R917" s="47"/>
      <c r="S917" s="47"/>
      <c r="T917" s="47"/>
      <c r="U917" s="47"/>
      <c r="V917" s="47"/>
      <c r="W917" s="47"/>
      <c r="X917" s="47"/>
      <c r="Y917" s="47"/>
      <c r="Z917" s="47"/>
    </row>
    <row r="918" spans="1:26" ht="15.75" customHeight="1">
      <c r="A918" s="47"/>
      <c r="B918" s="47"/>
      <c r="C918" s="47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  <c r="S918" s="47"/>
      <c r="T918" s="47"/>
      <c r="U918" s="47"/>
      <c r="V918" s="47"/>
      <c r="W918" s="47"/>
      <c r="X918" s="47"/>
      <c r="Y918" s="47"/>
      <c r="Z918" s="47"/>
    </row>
    <row r="919" spans="1:26" ht="15.75" customHeight="1">
      <c r="A919" s="47"/>
      <c r="B919" s="47"/>
      <c r="C919" s="47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  <c r="S919" s="47"/>
      <c r="T919" s="47"/>
      <c r="U919" s="47"/>
      <c r="V919" s="47"/>
      <c r="W919" s="47"/>
      <c r="X919" s="47"/>
      <c r="Y919" s="47"/>
      <c r="Z919" s="47"/>
    </row>
    <row r="920" spans="1:26" ht="15.75" customHeight="1">
      <c r="A920" s="47"/>
      <c r="B920" s="47"/>
      <c r="C920" s="47"/>
      <c r="D920" s="47"/>
      <c r="E920" s="47"/>
      <c r="F920" s="47"/>
      <c r="G920" s="47"/>
      <c r="H920" s="47"/>
      <c r="I920" s="47"/>
      <c r="J920" s="47"/>
      <c r="K920" s="47"/>
      <c r="L920" s="47"/>
      <c r="M920" s="47"/>
      <c r="N920" s="47"/>
      <c r="O920" s="47"/>
      <c r="P920" s="47"/>
      <c r="Q920" s="47"/>
      <c r="R920" s="47"/>
      <c r="S920" s="47"/>
      <c r="T920" s="47"/>
      <c r="U920" s="47"/>
      <c r="V920" s="47"/>
      <c r="W920" s="47"/>
      <c r="X920" s="47"/>
      <c r="Y920" s="47"/>
      <c r="Z920" s="47"/>
    </row>
    <row r="921" spans="1:26" ht="15.75" customHeight="1">
      <c r="A921" s="47"/>
      <c r="B921" s="47"/>
      <c r="C921" s="47"/>
      <c r="D921" s="47"/>
      <c r="E921" s="47"/>
      <c r="F921" s="47"/>
      <c r="G921" s="47"/>
      <c r="H921" s="47"/>
      <c r="I921" s="47"/>
      <c r="J921" s="47"/>
      <c r="K921" s="47"/>
      <c r="L921" s="47"/>
      <c r="M921" s="47"/>
      <c r="N921" s="47"/>
      <c r="O921" s="47"/>
      <c r="P921" s="47"/>
      <c r="Q921" s="47"/>
      <c r="R921" s="47"/>
      <c r="S921" s="47"/>
      <c r="T921" s="47"/>
      <c r="U921" s="47"/>
      <c r="V921" s="47"/>
      <c r="W921" s="47"/>
      <c r="X921" s="47"/>
      <c r="Y921" s="47"/>
      <c r="Z921" s="47"/>
    </row>
    <row r="922" spans="1:26" ht="15.75" customHeight="1">
      <c r="A922" s="47"/>
      <c r="B922" s="47"/>
      <c r="C922" s="47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  <c r="S922" s="47"/>
      <c r="T922" s="47"/>
      <c r="U922" s="47"/>
      <c r="V922" s="47"/>
      <c r="W922" s="47"/>
      <c r="X922" s="47"/>
      <c r="Y922" s="47"/>
      <c r="Z922" s="47"/>
    </row>
    <row r="923" spans="1:26" ht="15.75" customHeight="1">
      <c r="A923" s="47"/>
      <c r="B923" s="47"/>
      <c r="C923" s="47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  <c r="S923" s="47"/>
      <c r="T923" s="47"/>
      <c r="U923" s="47"/>
      <c r="V923" s="47"/>
      <c r="W923" s="47"/>
      <c r="X923" s="47"/>
      <c r="Y923" s="47"/>
      <c r="Z923" s="47"/>
    </row>
    <row r="924" spans="1:26" ht="15.75" customHeight="1">
      <c r="A924" s="47"/>
      <c r="B924" s="47"/>
      <c r="C924" s="47"/>
      <c r="D924" s="47"/>
      <c r="E924" s="47"/>
      <c r="F924" s="47"/>
      <c r="G924" s="47"/>
      <c r="H924" s="47"/>
      <c r="I924" s="47"/>
      <c r="J924" s="47"/>
      <c r="K924" s="47"/>
      <c r="L924" s="47"/>
      <c r="M924" s="47"/>
      <c r="N924" s="47"/>
      <c r="O924" s="47"/>
      <c r="P924" s="47"/>
      <c r="Q924" s="47"/>
      <c r="R924" s="47"/>
      <c r="S924" s="47"/>
      <c r="T924" s="47"/>
      <c r="U924" s="47"/>
      <c r="V924" s="47"/>
      <c r="W924" s="47"/>
      <c r="X924" s="47"/>
      <c r="Y924" s="47"/>
      <c r="Z924" s="47"/>
    </row>
    <row r="925" spans="1:26" ht="15.75" customHeight="1">
      <c r="A925" s="47"/>
      <c r="B925" s="47"/>
      <c r="C925" s="47"/>
      <c r="D925" s="47"/>
      <c r="E925" s="47"/>
      <c r="F925" s="47"/>
      <c r="G925" s="47"/>
      <c r="H925" s="47"/>
      <c r="I925" s="47"/>
      <c r="J925" s="47"/>
      <c r="K925" s="47"/>
      <c r="L925" s="47"/>
      <c r="M925" s="47"/>
      <c r="N925" s="47"/>
      <c r="O925" s="47"/>
      <c r="P925" s="47"/>
      <c r="Q925" s="47"/>
      <c r="R925" s="47"/>
      <c r="S925" s="47"/>
      <c r="T925" s="47"/>
      <c r="U925" s="47"/>
      <c r="V925" s="47"/>
      <c r="W925" s="47"/>
      <c r="X925" s="47"/>
      <c r="Y925" s="47"/>
      <c r="Z925" s="47"/>
    </row>
    <row r="926" spans="1:26" ht="15.75" customHeight="1">
      <c r="A926" s="47"/>
      <c r="B926" s="47"/>
      <c r="C926" s="47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  <c r="S926" s="47"/>
      <c r="T926" s="47"/>
      <c r="U926" s="47"/>
      <c r="V926" s="47"/>
      <c r="W926" s="47"/>
      <c r="X926" s="47"/>
      <c r="Y926" s="47"/>
      <c r="Z926" s="47"/>
    </row>
    <row r="927" spans="1:26" ht="15.75" customHeight="1">
      <c r="A927" s="47"/>
      <c r="B927" s="47"/>
      <c r="C927" s="47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  <c r="S927" s="47"/>
      <c r="T927" s="47"/>
      <c r="U927" s="47"/>
      <c r="V927" s="47"/>
      <c r="W927" s="47"/>
      <c r="X927" s="47"/>
      <c r="Y927" s="47"/>
      <c r="Z927" s="47"/>
    </row>
    <row r="928" spans="1:26" ht="15.75" customHeight="1">
      <c r="A928" s="47"/>
      <c r="B928" s="47"/>
      <c r="C928" s="47"/>
      <c r="D928" s="47"/>
      <c r="E928" s="47"/>
      <c r="F928" s="47"/>
      <c r="G928" s="47"/>
      <c r="H928" s="47"/>
      <c r="I928" s="47"/>
      <c r="J928" s="47"/>
      <c r="K928" s="47"/>
      <c r="L928" s="47"/>
      <c r="M928" s="47"/>
      <c r="N928" s="47"/>
      <c r="O928" s="47"/>
      <c r="P928" s="47"/>
      <c r="Q928" s="47"/>
      <c r="R928" s="47"/>
      <c r="S928" s="47"/>
      <c r="T928" s="47"/>
      <c r="U928" s="47"/>
      <c r="V928" s="47"/>
      <c r="W928" s="47"/>
      <c r="X928" s="47"/>
      <c r="Y928" s="47"/>
      <c r="Z928" s="47"/>
    </row>
    <row r="929" spans="1:26" ht="15.75" customHeight="1">
      <c r="A929" s="47"/>
      <c r="B929" s="47"/>
      <c r="C929" s="47"/>
      <c r="D929" s="47"/>
      <c r="E929" s="47"/>
      <c r="F929" s="47"/>
      <c r="G929" s="47"/>
      <c r="H929" s="47"/>
      <c r="I929" s="47"/>
      <c r="J929" s="47"/>
      <c r="K929" s="47"/>
      <c r="L929" s="47"/>
      <c r="M929" s="47"/>
      <c r="N929" s="47"/>
      <c r="O929" s="47"/>
      <c r="P929" s="47"/>
      <c r="Q929" s="47"/>
      <c r="R929" s="47"/>
      <c r="S929" s="47"/>
      <c r="T929" s="47"/>
      <c r="U929" s="47"/>
      <c r="V929" s="47"/>
      <c r="W929" s="47"/>
      <c r="X929" s="47"/>
      <c r="Y929" s="47"/>
      <c r="Z929" s="47"/>
    </row>
    <row r="930" spans="1:26" ht="15.75" customHeight="1">
      <c r="A930" s="47"/>
      <c r="B930" s="47"/>
      <c r="C930" s="47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  <c r="S930" s="47"/>
      <c r="T930" s="47"/>
      <c r="U930" s="47"/>
      <c r="V930" s="47"/>
      <c r="W930" s="47"/>
      <c r="X930" s="47"/>
      <c r="Y930" s="47"/>
      <c r="Z930" s="47"/>
    </row>
    <row r="931" spans="1:26" ht="15.75" customHeight="1">
      <c r="A931" s="47"/>
      <c r="B931" s="47"/>
      <c r="C931" s="47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  <c r="S931" s="47"/>
      <c r="T931" s="47"/>
      <c r="U931" s="47"/>
      <c r="V931" s="47"/>
      <c r="W931" s="47"/>
      <c r="X931" s="47"/>
      <c r="Y931" s="47"/>
      <c r="Z931" s="47"/>
    </row>
    <row r="932" spans="1:26" ht="15.75" customHeight="1">
      <c r="A932" s="47"/>
      <c r="B932" s="47"/>
      <c r="C932" s="47"/>
      <c r="D932" s="47"/>
      <c r="E932" s="47"/>
      <c r="F932" s="47"/>
      <c r="G932" s="47"/>
      <c r="H932" s="47"/>
      <c r="I932" s="47"/>
      <c r="J932" s="47"/>
      <c r="K932" s="47"/>
      <c r="L932" s="47"/>
      <c r="M932" s="47"/>
      <c r="N932" s="47"/>
      <c r="O932" s="47"/>
      <c r="P932" s="47"/>
      <c r="Q932" s="47"/>
      <c r="R932" s="47"/>
      <c r="S932" s="47"/>
      <c r="T932" s="47"/>
      <c r="U932" s="47"/>
      <c r="V932" s="47"/>
      <c r="W932" s="47"/>
      <c r="X932" s="47"/>
      <c r="Y932" s="47"/>
      <c r="Z932" s="47"/>
    </row>
    <row r="933" spans="1:26" ht="15.75" customHeight="1">
      <c r="A933" s="47"/>
      <c r="B933" s="47"/>
      <c r="C933" s="47"/>
      <c r="D933" s="47"/>
      <c r="E933" s="47"/>
      <c r="F933" s="47"/>
      <c r="G933" s="47"/>
      <c r="H933" s="47"/>
      <c r="I933" s="47"/>
      <c r="J933" s="47"/>
      <c r="K933" s="47"/>
      <c r="L933" s="47"/>
      <c r="M933" s="47"/>
      <c r="N933" s="47"/>
      <c r="O933" s="47"/>
      <c r="P933" s="47"/>
      <c r="Q933" s="47"/>
      <c r="R933" s="47"/>
      <c r="S933" s="47"/>
      <c r="T933" s="47"/>
      <c r="U933" s="47"/>
      <c r="V933" s="47"/>
      <c r="W933" s="47"/>
      <c r="X933" s="47"/>
      <c r="Y933" s="47"/>
      <c r="Z933" s="47"/>
    </row>
    <row r="934" spans="1:26" ht="15.75" customHeight="1">
      <c r="A934" s="47"/>
      <c r="B934" s="47"/>
      <c r="C934" s="47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  <c r="S934" s="47"/>
      <c r="T934" s="47"/>
      <c r="U934" s="47"/>
      <c r="V934" s="47"/>
      <c r="W934" s="47"/>
      <c r="X934" s="47"/>
      <c r="Y934" s="47"/>
      <c r="Z934" s="47"/>
    </row>
    <row r="935" spans="1:26" ht="15.75" customHeight="1">
      <c r="A935" s="47"/>
      <c r="B935" s="47"/>
      <c r="C935" s="47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  <c r="S935" s="47"/>
      <c r="T935" s="47"/>
      <c r="U935" s="47"/>
      <c r="V935" s="47"/>
      <c r="W935" s="47"/>
      <c r="X935" s="47"/>
      <c r="Y935" s="47"/>
      <c r="Z935" s="47"/>
    </row>
    <row r="936" spans="1:26" ht="15.75" customHeight="1">
      <c r="A936" s="47"/>
      <c r="B936" s="47"/>
      <c r="C936" s="47"/>
      <c r="D936" s="47"/>
      <c r="E936" s="47"/>
      <c r="F936" s="47"/>
      <c r="G936" s="47"/>
      <c r="H936" s="47"/>
      <c r="I936" s="47"/>
      <c r="J936" s="47"/>
      <c r="K936" s="47"/>
      <c r="L936" s="47"/>
      <c r="M936" s="47"/>
      <c r="N936" s="47"/>
      <c r="O936" s="47"/>
      <c r="P936" s="47"/>
      <c r="Q936" s="47"/>
      <c r="R936" s="47"/>
      <c r="S936" s="47"/>
      <c r="T936" s="47"/>
      <c r="U936" s="47"/>
      <c r="V936" s="47"/>
      <c r="W936" s="47"/>
      <c r="X936" s="47"/>
      <c r="Y936" s="47"/>
      <c r="Z936" s="47"/>
    </row>
    <row r="937" spans="1:26" ht="15.75" customHeight="1">
      <c r="A937" s="47"/>
      <c r="B937" s="47"/>
      <c r="C937" s="47"/>
      <c r="D937" s="47"/>
      <c r="E937" s="47"/>
      <c r="F937" s="47"/>
      <c r="G937" s="47"/>
      <c r="H937" s="47"/>
      <c r="I937" s="47"/>
      <c r="J937" s="47"/>
      <c r="K937" s="47"/>
      <c r="L937" s="47"/>
      <c r="M937" s="47"/>
      <c r="N937" s="47"/>
      <c r="O937" s="47"/>
      <c r="P937" s="47"/>
      <c r="Q937" s="47"/>
      <c r="R937" s="47"/>
      <c r="S937" s="47"/>
      <c r="T937" s="47"/>
      <c r="U937" s="47"/>
      <c r="V937" s="47"/>
      <c r="W937" s="47"/>
      <c r="X937" s="47"/>
      <c r="Y937" s="47"/>
      <c r="Z937" s="47"/>
    </row>
    <row r="938" spans="1:26" ht="15.75" customHeight="1">
      <c r="A938" s="47"/>
      <c r="B938" s="47"/>
      <c r="C938" s="47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  <c r="S938" s="47"/>
      <c r="T938" s="47"/>
      <c r="U938" s="47"/>
      <c r="V938" s="47"/>
      <c r="W938" s="47"/>
      <c r="X938" s="47"/>
      <c r="Y938" s="47"/>
      <c r="Z938" s="47"/>
    </row>
    <row r="939" spans="1:26" ht="15.75" customHeight="1">
      <c r="A939" s="47"/>
      <c r="B939" s="47"/>
      <c r="C939" s="47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  <c r="S939" s="47"/>
      <c r="T939" s="47"/>
      <c r="U939" s="47"/>
      <c r="V939" s="47"/>
      <c r="W939" s="47"/>
      <c r="X939" s="47"/>
      <c r="Y939" s="47"/>
      <c r="Z939" s="47"/>
    </row>
    <row r="940" spans="1:26" ht="15.75" customHeight="1">
      <c r="A940" s="47"/>
      <c r="B940" s="47"/>
      <c r="C940" s="47"/>
      <c r="D940" s="47"/>
      <c r="E940" s="47"/>
      <c r="F940" s="47"/>
      <c r="G940" s="47"/>
      <c r="H940" s="47"/>
      <c r="I940" s="47"/>
      <c r="J940" s="47"/>
      <c r="K940" s="47"/>
      <c r="L940" s="47"/>
      <c r="M940" s="47"/>
      <c r="N940" s="47"/>
      <c r="O940" s="47"/>
      <c r="P940" s="47"/>
      <c r="Q940" s="47"/>
      <c r="R940" s="47"/>
      <c r="S940" s="47"/>
      <c r="T940" s="47"/>
      <c r="U940" s="47"/>
      <c r="V940" s="47"/>
      <c r="W940" s="47"/>
      <c r="X940" s="47"/>
      <c r="Y940" s="47"/>
      <c r="Z940" s="47"/>
    </row>
    <row r="941" spans="1:26" ht="15.75" customHeight="1">
      <c r="A941" s="47"/>
      <c r="B941" s="47"/>
      <c r="C941" s="47"/>
      <c r="D941" s="47"/>
      <c r="E941" s="47"/>
      <c r="F941" s="47"/>
      <c r="G941" s="47"/>
      <c r="H941" s="47"/>
      <c r="I941" s="47"/>
      <c r="J941" s="47"/>
      <c r="K941" s="47"/>
      <c r="L941" s="47"/>
      <c r="M941" s="47"/>
      <c r="N941" s="47"/>
      <c r="O941" s="47"/>
      <c r="P941" s="47"/>
      <c r="Q941" s="47"/>
      <c r="R941" s="47"/>
      <c r="S941" s="47"/>
      <c r="T941" s="47"/>
      <c r="U941" s="47"/>
      <c r="V941" s="47"/>
      <c r="W941" s="47"/>
      <c r="X941" s="47"/>
      <c r="Y941" s="47"/>
      <c r="Z941" s="47"/>
    </row>
    <row r="942" spans="1:26" ht="15.75" customHeight="1">
      <c r="A942" s="47"/>
      <c r="B942" s="47"/>
      <c r="C942" s="47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  <c r="S942" s="47"/>
      <c r="T942" s="47"/>
      <c r="U942" s="47"/>
      <c r="V942" s="47"/>
      <c r="W942" s="47"/>
      <c r="X942" s="47"/>
      <c r="Y942" s="47"/>
      <c r="Z942" s="47"/>
    </row>
    <row r="943" spans="1:26" ht="15.75" customHeight="1">
      <c r="A943" s="47"/>
      <c r="B943" s="47"/>
      <c r="C943" s="47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  <c r="S943" s="47"/>
      <c r="T943" s="47"/>
      <c r="U943" s="47"/>
      <c r="V943" s="47"/>
      <c r="W943" s="47"/>
      <c r="X943" s="47"/>
      <c r="Y943" s="47"/>
      <c r="Z943" s="47"/>
    </row>
    <row r="944" spans="1:26" ht="15.75" customHeight="1">
      <c r="A944" s="47"/>
      <c r="B944" s="47"/>
      <c r="C944" s="47"/>
      <c r="D944" s="47"/>
      <c r="E944" s="47"/>
      <c r="F944" s="47"/>
      <c r="G944" s="47"/>
      <c r="H944" s="47"/>
      <c r="I944" s="47"/>
      <c r="J944" s="47"/>
      <c r="K944" s="47"/>
      <c r="L944" s="47"/>
      <c r="M944" s="47"/>
      <c r="N944" s="47"/>
      <c r="O944" s="47"/>
      <c r="P944" s="47"/>
      <c r="Q944" s="47"/>
      <c r="R944" s="47"/>
      <c r="S944" s="47"/>
      <c r="T944" s="47"/>
      <c r="U944" s="47"/>
      <c r="V944" s="47"/>
      <c r="W944" s="47"/>
      <c r="X944" s="47"/>
      <c r="Y944" s="47"/>
      <c r="Z944" s="47"/>
    </row>
    <row r="945" spans="1:26" ht="15.75" customHeight="1">
      <c r="A945" s="47"/>
      <c r="B945" s="47"/>
      <c r="C945" s="47"/>
      <c r="D945" s="47"/>
      <c r="E945" s="47"/>
      <c r="F945" s="47"/>
      <c r="G945" s="47"/>
      <c r="H945" s="47"/>
      <c r="I945" s="47"/>
      <c r="J945" s="47"/>
      <c r="K945" s="47"/>
      <c r="L945" s="47"/>
      <c r="M945" s="47"/>
      <c r="N945" s="47"/>
      <c r="O945" s="47"/>
      <c r="P945" s="47"/>
      <c r="Q945" s="47"/>
      <c r="R945" s="47"/>
      <c r="S945" s="47"/>
      <c r="T945" s="47"/>
      <c r="U945" s="47"/>
      <c r="V945" s="47"/>
      <c r="W945" s="47"/>
      <c r="X945" s="47"/>
      <c r="Y945" s="47"/>
      <c r="Z945" s="47"/>
    </row>
    <row r="946" spans="1:26" ht="15.75" customHeight="1">
      <c r="A946" s="47"/>
      <c r="B946" s="47"/>
      <c r="C946" s="47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  <c r="S946" s="47"/>
      <c r="T946" s="47"/>
      <c r="U946" s="47"/>
      <c r="V946" s="47"/>
      <c r="W946" s="47"/>
      <c r="X946" s="47"/>
      <c r="Y946" s="47"/>
      <c r="Z946" s="47"/>
    </row>
    <row r="947" spans="1:26" ht="15.75" customHeight="1">
      <c r="A947" s="47"/>
      <c r="B947" s="47"/>
      <c r="C947" s="47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  <c r="S947" s="47"/>
      <c r="T947" s="47"/>
      <c r="U947" s="47"/>
      <c r="V947" s="47"/>
      <c r="W947" s="47"/>
      <c r="X947" s="47"/>
      <c r="Y947" s="47"/>
      <c r="Z947" s="47"/>
    </row>
    <row r="948" spans="1:26" ht="15.75" customHeight="1">
      <c r="A948" s="47"/>
      <c r="B948" s="47"/>
      <c r="C948" s="47"/>
      <c r="D948" s="47"/>
      <c r="E948" s="47"/>
      <c r="F948" s="47"/>
      <c r="G948" s="47"/>
      <c r="H948" s="47"/>
      <c r="I948" s="47"/>
      <c r="J948" s="47"/>
      <c r="K948" s="47"/>
      <c r="L948" s="47"/>
      <c r="M948" s="47"/>
      <c r="N948" s="47"/>
      <c r="O948" s="47"/>
      <c r="P948" s="47"/>
      <c r="Q948" s="47"/>
      <c r="R948" s="47"/>
      <c r="S948" s="47"/>
      <c r="T948" s="47"/>
      <c r="U948" s="47"/>
      <c r="V948" s="47"/>
      <c r="W948" s="47"/>
      <c r="X948" s="47"/>
      <c r="Y948" s="47"/>
      <c r="Z948" s="47"/>
    </row>
    <row r="949" spans="1:26" ht="15.75" customHeight="1">
      <c r="A949" s="47"/>
      <c r="B949" s="47"/>
      <c r="C949" s="47"/>
      <c r="D949" s="47"/>
      <c r="E949" s="47"/>
      <c r="F949" s="47"/>
      <c r="G949" s="47"/>
      <c r="H949" s="47"/>
      <c r="I949" s="47"/>
      <c r="J949" s="47"/>
      <c r="K949" s="47"/>
      <c r="L949" s="47"/>
      <c r="M949" s="47"/>
      <c r="N949" s="47"/>
      <c r="O949" s="47"/>
      <c r="P949" s="47"/>
      <c r="Q949" s="47"/>
      <c r="R949" s="47"/>
      <c r="S949" s="47"/>
      <c r="T949" s="47"/>
      <c r="U949" s="47"/>
      <c r="V949" s="47"/>
      <c r="W949" s="47"/>
      <c r="X949" s="47"/>
      <c r="Y949" s="47"/>
      <c r="Z949" s="47"/>
    </row>
    <row r="950" spans="1:26" ht="15.75" customHeight="1">
      <c r="A950" s="47"/>
      <c r="B950" s="47"/>
      <c r="C950" s="47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  <c r="S950" s="47"/>
      <c r="T950" s="47"/>
      <c r="U950" s="47"/>
      <c r="V950" s="47"/>
      <c r="W950" s="47"/>
      <c r="X950" s="47"/>
      <c r="Y950" s="47"/>
      <c r="Z950" s="47"/>
    </row>
    <row r="951" spans="1:26" ht="15.75" customHeight="1">
      <c r="A951" s="47"/>
      <c r="B951" s="47"/>
      <c r="C951" s="47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  <c r="S951" s="47"/>
      <c r="T951" s="47"/>
      <c r="U951" s="47"/>
      <c r="V951" s="47"/>
      <c r="W951" s="47"/>
      <c r="X951" s="47"/>
      <c r="Y951" s="47"/>
      <c r="Z951" s="47"/>
    </row>
    <row r="952" spans="1:26" ht="15.75" customHeight="1">
      <c r="A952" s="47"/>
      <c r="B952" s="47"/>
      <c r="C952" s="47"/>
      <c r="D952" s="47"/>
      <c r="E952" s="47"/>
      <c r="F952" s="47"/>
      <c r="G952" s="47"/>
      <c r="H952" s="47"/>
      <c r="I952" s="47"/>
      <c r="J952" s="47"/>
      <c r="K952" s="47"/>
      <c r="L952" s="47"/>
      <c r="M952" s="47"/>
      <c r="N952" s="47"/>
      <c r="O952" s="47"/>
      <c r="P952" s="47"/>
      <c r="Q952" s="47"/>
      <c r="R952" s="47"/>
      <c r="S952" s="47"/>
      <c r="T952" s="47"/>
      <c r="U952" s="47"/>
      <c r="V952" s="47"/>
      <c r="W952" s="47"/>
      <c r="X952" s="47"/>
      <c r="Y952" s="47"/>
      <c r="Z952" s="47"/>
    </row>
    <row r="953" spans="1:26" ht="15.75" customHeight="1">
      <c r="A953" s="47"/>
      <c r="B953" s="47"/>
      <c r="C953" s="47"/>
      <c r="D953" s="47"/>
      <c r="E953" s="47"/>
      <c r="F953" s="47"/>
      <c r="G953" s="47"/>
      <c r="H953" s="47"/>
      <c r="I953" s="47"/>
      <c r="J953" s="47"/>
      <c r="K953" s="47"/>
      <c r="L953" s="47"/>
      <c r="M953" s="47"/>
      <c r="N953" s="47"/>
      <c r="O953" s="47"/>
      <c r="P953" s="47"/>
      <c r="Q953" s="47"/>
      <c r="R953" s="47"/>
      <c r="S953" s="47"/>
      <c r="T953" s="47"/>
      <c r="U953" s="47"/>
      <c r="V953" s="47"/>
      <c r="W953" s="47"/>
      <c r="X953" s="47"/>
      <c r="Y953" s="47"/>
      <c r="Z953" s="47"/>
    </row>
    <row r="954" spans="1:26" ht="15.75" customHeight="1">
      <c r="A954" s="47"/>
      <c r="B954" s="47"/>
      <c r="C954" s="47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  <c r="S954" s="47"/>
      <c r="T954" s="47"/>
      <c r="U954" s="47"/>
      <c r="V954" s="47"/>
      <c r="W954" s="47"/>
      <c r="X954" s="47"/>
      <c r="Y954" s="47"/>
      <c r="Z954" s="47"/>
    </row>
    <row r="955" spans="1:26" ht="15.75" customHeight="1">
      <c r="A955" s="47"/>
      <c r="B955" s="47"/>
      <c r="C955" s="47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  <c r="S955" s="47"/>
      <c r="T955" s="47"/>
      <c r="U955" s="47"/>
      <c r="V955" s="47"/>
      <c r="W955" s="47"/>
      <c r="X955" s="47"/>
      <c r="Y955" s="47"/>
      <c r="Z955" s="47"/>
    </row>
    <row r="956" spans="1:26" ht="15.75" customHeight="1">
      <c r="A956" s="47"/>
      <c r="B956" s="47"/>
      <c r="C956" s="47"/>
      <c r="D956" s="47"/>
      <c r="E956" s="47"/>
      <c r="F956" s="47"/>
      <c r="G956" s="47"/>
      <c r="H956" s="47"/>
      <c r="I956" s="47"/>
      <c r="J956" s="47"/>
      <c r="K956" s="47"/>
      <c r="L956" s="47"/>
      <c r="M956" s="47"/>
      <c r="N956" s="47"/>
      <c r="O956" s="47"/>
      <c r="P956" s="47"/>
      <c r="Q956" s="47"/>
      <c r="R956" s="47"/>
      <c r="S956" s="47"/>
      <c r="T956" s="47"/>
      <c r="U956" s="47"/>
      <c r="V956" s="47"/>
      <c r="W956" s="47"/>
      <c r="X956" s="47"/>
      <c r="Y956" s="47"/>
      <c r="Z956" s="47"/>
    </row>
    <row r="957" spans="1:26" ht="15.75" customHeight="1">
      <c r="A957" s="47"/>
      <c r="B957" s="47"/>
      <c r="C957" s="47"/>
      <c r="D957" s="47"/>
      <c r="E957" s="47"/>
      <c r="F957" s="47"/>
      <c r="G957" s="47"/>
      <c r="H957" s="47"/>
      <c r="I957" s="47"/>
      <c r="J957" s="47"/>
      <c r="K957" s="47"/>
      <c r="L957" s="47"/>
      <c r="M957" s="47"/>
      <c r="N957" s="47"/>
      <c r="O957" s="47"/>
      <c r="P957" s="47"/>
      <c r="Q957" s="47"/>
      <c r="R957" s="47"/>
      <c r="S957" s="47"/>
      <c r="T957" s="47"/>
      <c r="U957" s="47"/>
      <c r="V957" s="47"/>
      <c r="W957" s="47"/>
      <c r="X957" s="47"/>
      <c r="Y957" s="47"/>
      <c r="Z957" s="47"/>
    </row>
    <row r="958" spans="1:26" ht="15.75" customHeight="1">
      <c r="A958" s="47"/>
      <c r="B958" s="47"/>
      <c r="C958" s="47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  <c r="S958" s="47"/>
      <c r="T958" s="47"/>
      <c r="U958" s="47"/>
      <c r="V958" s="47"/>
      <c r="W958" s="47"/>
      <c r="X958" s="47"/>
      <c r="Y958" s="47"/>
      <c r="Z958" s="47"/>
    </row>
    <row r="959" spans="1:26" ht="15.75" customHeight="1">
      <c r="A959" s="47"/>
      <c r="B959" s="47"/>
      <c r="C959" s="47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  <c r="S959" s="47"/>
      <c r="T959" s="47"/>
      <c r="U959" s="47"/>
      <c r="V959" s="47"/>
      <c r="W959" s="47"/>
      <c r="X959" s="47"/>
      <c r="Y959" s="47"/>
      <c r="Z959" s="47"/>
    </row>
    <row r="960" spans="1:26" ht="15.75" customHeight="1">
      <c r="A960" s="47"/>
      <c r="B960" s="47"/>
      <c r="C960" s="47"/>
      <c r="D960" s="47"/>
      <c r="E960" s="47"/>
      <c r="F960" s="47"/>
      <c r="G960" s="47"/>
      <c r="H960" s="47"/>
      <c r="I960" s="47"/>
      <c r="J960" s="47"/>
      <c r="K960" s="47"/>
      <c r="L960" s="47"/>
      <c r="M960" s="47"/>
      <c r="N960" s="47"/>
      <c r="O960" s="47"/>
      <c r="P960" s="47"/>
      <c r="Q960" s="47"/>
      <c r="R960" s="47"/>
      <c r="S960" s="47"/>
      <c r="T960" s="47"/>
      <c r="U960" s="47"/>
      <c r="V960" s="47"/>
      <c r="W960" s="47"/>
      <c r="X960" s="47"/>
      <c r="Y960" s="47"/>
      <c r="Z960" s="47"/>
    </row>
    <row r="961" spans="1:26" ht="15.75" customHeight="1">
      <c r="A961" s="47"/>
      <c r="B961" s="47"/>
      <c r="C961" s="47"/>
      <c r="D961" s="47"/>
      <c r="E961" s="47"/>
      <c r="F961" s="47"/>
      <c r="G961" s="47"/>
      <c r="H961" s="47"/>
      <c r="I961" s="47"/>
      <c r="J961" s="47"/>
      <c r="K961" s="47"/>
      <c r="L961" s="47"/>
      <c r="M961" s="47"/>
      <c r="N961" s="47"/>
      <c r="O961" s="47"/>
      <c r="P961" s="47"/>
      <c r="Q961" s="47"/>
      <c r="R961" s="47"/>
      <c r="S961" s="47"/>
      <c r="T961" s="47"/>
      <c r="U961" s="47"/>
      <c r="V961" s="47"/>
      <c r="W961" s="47"/>
      <c r="X961" s="47"/>
      <c r="Y961" s="47"/>
      <c r="Z961" s="47"/>
    </row>
    <row r="962" spans="1:26" ht="15.75" customHeight="1">
      <c r="A962" s="47"/>
      <c r="B962" s="47"/>
      <c r="C962" s="47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  <c r="S962" s="47"/>
      <c r="T962" s="47"/>
      <c r="U962" s="47"/>
      <c r="V962" s="47"/>
      <c r="W962" s="47"/>
      <c r="X962" s="47"/>
      <c r="Y962" s="47"/>
      <c r="Z962" s="47"/>
    </row>
    <row r="963" spans="1:26" ht="15.75" customHeight="1">
      <c r="A963" s="47"/>
      <c r="B963" s="47"/>
      <c r="C963" s="47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  <c r="S963" s="47"/>
      <c r="T963" s="47"/>
      <c r="U963" s="47"/>
      <c r="V963" s="47"/>
      <c r="W963" s="47"/>
      <c r="X963" s="47"/>
      <c r="Y963" s="47"/>
      <c r="Z963" s="47"/>
    </row>
    <row r="964" spans="1:26" ht="15.75" customHeight="1">
      <c r="A964" s="47"/>
      <c r="B964" s="47"/>
      <c r="C964" s="47"/>
      <c r="D964" s="47"/>
      <c r="E964" s="47"/>
      <c r="F964" s="47"/>
      <c r="G964" s="47"/>
      <c r="H964" s="47"/>
      <c r="I964" s="47"/>
      <c r="J964" s="47"/>
      <c r="K964" s="47"/>
      <c r="L964" s="47"/>
      <c r="M964" s="47"/>
      <c r="N964" s="47"/>
      <c r="O964" s="47"/>
      <c r="P964" s="47"/>
      <c r="Q964" s="47"/>
      <c r="R964" s="47"/>
      <c r="S964" s="47"/>
      <c r="T964" s="47"/>
      <c r="U964" s="47"/>
      <c r="V964" s="47"/>
      <c r="W964" s="47"/>
      <c r="X964" s="47"/>
      <c r="Y964" s="47"/>
      <c r="Z964" s="47"/>
    </row>
    <row r="965" spans="1:26" ht="15.75" customHeight="1">
      <c r="A965" s="47"/>
      <c r="B965" s="47"/>
      <c r="C965" s="47"/>
      <c r="D965" s="47"/>
      <c r="E965" s="47"/>
      <c r="F965" s="47"/>
      <c r="G965" s="47"/>
      <c r="H965" s="47"/>
      <c r="I965" s="47"/>
      <c r="J965" s="47"/>
      <c r="K965" s="47"/>
      <c r="L965" s="47"/>
      <c r="M965" s="47"/>
      <c r="N965" s="47"/>
      <c r="O965" s="47"/>
      <c r="P965" s="47"/>
      <c r="Q965" s="47"/>
      <c r="R965" s="47"/>
      <c r="S965" s="47"/>
      <c r="T965" s="47"/>
      <c r="U965" s="47"/>
      <c r="V965" s="47"/>
      <c r="W965" s="47"/>
      <c r="X965" s="47"/>
      <c r="Y965" s="47"/>
      <c r="Z965" s="47"/>
    </row>
    <row r="966" spans="1:26" ht="15.75" customHeight="1">
      <c r="A966" s="47"/>
      <c r="B966" s="47"/>
      <c r="C966" s="47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  <c r="S966" s="47"/>
      <c r="T966" s="47"/>
      <c r="U966" s="47"/>
      <c r="V966" s="47"/>
      <c r="W966" s="47"/>
      <c r="X966" s="47"/>
      <c r="Y966" s="47"/>
      <c r="Z966" s="47"/>
    </row>
    <row r="967" spans="1:26" ht="15.75" customHeight="1">
      <c r="A967" s="47"/>
      <c r="B967" s="47"/>
      <c r="C967" s="47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  <c r="S967" s="47"/>
      <c r="T967" s="47"/>
      <c r="U967" s="47"/>
      <c r="V967" s="47"/>
      <c r="W967" s="47"/>
      <c r="X967" s="47"/>
      <c r="Y967" s="47"/>
      <c r="Z967" s="47"/>
    </row>
    <row r="968" spans="1:26" ht="15.75" customHeight="1">
      <c r="A968" s="47"/>
      <c r="B968" s="47"/>
      <c r="C968" s="47"/>
      <c r="D968" s="47"/>
      <c r="E968" s="47"/>
      <c r="F968" s="47"/>
      <c r="G968" s="47"/>
      <c r="H968" s="47"/>
      <c r="I968" s="47"/>
      <c r="J968" s="47"/>
      <c r="K968" s="47"/>
      <c r="L968" s="47"/>
      <c r="M968" s="47"/>
      <c r="N968" s="47"/>
      <c r="O968" s="47"/>
      <c r="P968" s="47"/>
      <c r="Q968" s="47"/>
      <c r="R968" s="47"/>
      <c r="S968" s="47"/>
      <c r="T968" s="47"/>
      <c r="U968" s="47"/>
      <c r="V968" s="47"/>
      <c r="W968" s="47"/>
      <c r="X968" s="47"/>
      <c r="Y968" s="47"/>
      <c r="Z968" s="47"/>
    </row>
    <row r="969" spans="1:26" ht="15.75" customHeight="1">
      <c r="A969" s="47"/>
      <c r="B969" s="47"/>
      <c r="C969" s="47"/>
      <c r="D969" s="47"/>
      <c r="E969" s="47"/>
      <c r="F969" s="47"/>
      <c r="G969" s="47"/>
      <c r="H969" s="47"/>
      <c r="I969" s="47"/>
      <c r="J969" s="47"/>
      <c r="K969" s="47"/>
      <c r="L969" s="47"/>
      <c r="M969" s="47"/>
      <c r="N969" s="47"/>
      <c r="O969" s="47"/>
      <c r="P969" s="47"/>
      <c r="Q969" s="47"/>
      <c r="R969" s="47"/>
      <c r="S969" s="47"/>
      <c r="T969" s="47"/>
      <c r="U969" s="47"/>
      <c r="V969" s="47"/>
      <c r="W969" s="47"/>
      <c r="X969" s="47"/>
      <c r="Y969" s="47"/>
      <c r="Z969" s="47"/>
    </row>
    <row r="970" spans="1:26" ht="15.75" customHeight="1">
      <c r="A970" s="47"/>
      <c r="B970" s="47"/>
      <c r="C970" s="47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  <c r="S970" s="47"/>
      <c r="T970" s="47"/>
      <c r="U970" s="47"/>
      <c r="V970" s="47"/>
      <c r="W970" s="47"/>
      <c r="X970" s="47"/>
      <c r="Y970" s="47"/>
      <c r="Z970" s="47"/>
    </row>
    <row r="971" spans="1:26" ht="15.75" customHeight="1">
      <c r="A971" s="47"/>
      <c r="B971" s="47"/>
      <c r="C971" s="47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  <c r="S971" s="47"/>
      <c r="T971" s="47"/>
      <c r="U971" s="47"/>
      <c r="V971" s="47"/>
      <c r="W971" s="47"/>
      <c r="X971" s="47"/>
      <c r="Y971" s="47"/>
      <c r="Z971" s="47"/>
    </row>
    <row r="972" spans="1:26" ht="15.75" customHeight="1">
      <c r="A972" s="47"/>
      <c r="B972" s="47"/>
      <c r="C972" s="47"/>
      <c r="D972" s="47"/>
      <c r="E972" s="47"/>
      <c r="F972" s="47"/>
      <c r="G972" s="47"/>
      <c r="H972" s="47"/>
      <c r="I972" s="47"/>
      <c r="J972" s="47"/>
      <c r="K972" s="47"/>
      <c r="L972" s="47"/>
      <c r="M972" s="47"/>
      <c r="N972" s="47"/>
      <c r="O972" s="47"/>
      <c r="P972" s="47"/>
      <c r="Q972" s="47"/>
      <c r="R972" s="47"/>
      <c r="S972" s="47"/>
      <c r="T972" s="47"/>
      <c r="U972" s="47"/>
      <c r="V972" s="47"/>
      <c r="W972" s="47"/>
      <c r="X972" s="47"/>
      <c r="Y972" s="47"/>
      <c r="Z972" s="47"/>
    </row>
    <row r="973" spans="1:26" ht="15.75" customHeight="1">
      <c r="A973" s="47"/>
      <c r="B973" s="47"/>
      <c r="C973" s="47"/>
      <c r="D973" s="47"/>
      <c r="E973" s="47"/>
      <c r="F973" s="47"/>
      <c r="G973" s="47"/>
      <c r="H973" s="47"/>
      <c r="I973" s="47"/>
      <c r="J973" s="47"/>
      <c r="K973" s="47"/>
      <c r="L973" s="47"/>
      <c r="M973" s="47"/>
      <c r="N973" s="47"/>
      <c r="O973" s="47"/>
      <c r="P973" s="47"/>
      <c r="Q973" s="47"/>
      <c r="R973" s="47"/>
      <c r="S973" s="47"/>
      <c r="T973" s="47"/>
      <c r="U973" s="47"/>
      <c r="V973" s="47"/>
      <c r="W973" s="47"/>
      <c r="X973" s="47"/>
      <c r="Y973" s="47"/>
      <c r="Z973" s="47"/>
    </row>
    <row r="974" spans="1:26" ht="15.75" customHeight="1">
      <c r="A974" s="47"/>
      <c r="B974" s="47"/>
      <c r="C974" s="47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  <c r="S974" s="47"/>
      <c r="T974" s="47"/>
      <c r="U974" s="47"/>
      <c r="V974" s="47"/>
      <c r="W974" s="47"/>
      <c r="X974" s="47"/>
      <c r="Y974" s="47"/>
      <c r="Z974" s="47"/>
    </row>
    <row r="975" spans="1:26" ht="15.75" customHeight="1">
      <c r="A975" s="47"/>
      <c r="B975" s="47"/>
      <c r="C975" s="47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  <c r="S975" s="47"/>
      <c r="T975" s="47"/>
      <c r="U975" s="47"/>
      <c r="V975" s="47"/>
      <c r="W975" s="47"/>
      <c r="X975" s="47"/>
      <c r="Y975" s="47"/>
      <c r="Z975" s="47"/>
    </row>
    <row r="976" spans="1:26" ht="15.75" customHeight="1">
      <c r="A976" s="47"/>
      <c r="B976" s="47"/>
      <c r="C976" s="47"/>
      <c r="D976" s="47"/>
      <c r="E976" s="47"/>
      <c r="F976" s="47"/>
      <c r="G976" s="47"/>
      <c r="H976" s="47"/>
      <c r="I976" s="47"/>
      <c r="J976" s="47"/>
      <c r="K976" s="47"/>
      <c r="L976" s="47"/>
      <c r="M976" s="47"/>
      <c r="N976" s="47"/>
      <c r="O976" s="47"/>
      <c r="P976" s="47"/>
      <c r="Q976" s="47"/>
      <c r="R976" s="47"/>
      <c r="S976" s="47"/>
      <c r="T976" s="47"/>
      <c r="U976" s="47"/>
      <c r="V976" s="47"/>
      <c r="W976" s="47"/>
      <c r="X976" s="47"/>
      <c r="Y976" s="47"/>
      <c r="Z976" s="47"/>
    </row>
    <row r="977" spans="1:26" ht="15.75" customHeight="1">
      <c r="A977" s="47"/>
      <c r="B977" s="47"/>
      <c r="C977" s="47"/>
      <c r="D977" s="47"/>
      <c r="E977" s="47"/>
      <c r="F977" s="47"/>
      <c r="G977" s="47"/>
      <c r="H977" s="47"/>
      <c r="I977" s="47"/>
      <c r="J977" s="47"/>
      <c r="K977" s="47"/>
      <c r="L977" s="47"/>
      <c r="M977" s="47"/>
      <c r="N977" s="47"/>
      <c r="O977" s="47"/>
      <c r="P977" s="47"/>
      <c r="Q977" s="47"/>
      <c r="R977" s="47"/>
      <c r="S977" s="47"/>
      <c r="T977" s="47"/>
      <c r="U977" s="47"/>
      <c r="V977" s="47"/>
      <c r="W977" s="47"/>
      <c r="X977" s="47"/>
      <c r="Y977" s="47"/>
      <c r="Z977" s="47"/>
    </row>
    <row r="978" spans="1:26" ht="15.75" customHeight="1">
      <c r="A978" s="47"/>
      <c r="B978" s="47"/>
      <c r="C978" s="47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  <c r="S978" s="47"/>
      <c r="T978" s="47"/>
      <c r="U978" s="47"/>
      <c r="V978" s="47"/>
      <c r="W978" s="47"/>
      <c r="X978" s="47"/>
      <c r="Y978" s="47"/>
      <c r="Z978" s="47"/>
    </row>
    <row r="979" spans="1:26" ht="15.75" customHeight="1">
      <c r="A979" s="47"/>
      <c r="B979" s="47"/>
      <c r="C979" s="47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  <c r="S979" s="47"/>
      <c r="T979" s="47"/>
      <c r="U979" s="47"/>
      <c r="V979" s="47"/>
      <c r="W979" s="47"/>
      <c r="X979" s="47"/>
      <c r="Y979" s="47"/>
      <c r="Z979" s="47"/>
    </row>
    <row r="980" spans="1:26" ht="15.75" customHeight="1">
      <c r="A980" s="47"/>
      <c r="B980" s="47"/>
      <c r="C980" s="47"/>
      <c r="D980" s="47"/>
      <c r="E980" s="47"/>
      <c r="F980" s="47"/>
      <c r="G980" s="47"/>
      <c r="H980" s="47"/>
      <c r="I980" s="47"/>
      <c r="J980" s="47"/>
      <c r="K980" s="47"/>
      <c r="L980" s="47"/>
      <c r="M980" s="47"/>
      <c r="N980" s="47"/>
      <c r="O980" s="47"/>
      <c r="P980" s="47"/>
      <c r="Q980" s="47"/>
      <c r="R980" s="47"/>
      <c r="S980" s="47"/>
      <c r="T980" s="47"/>
      <c r="U980" s="47"/>
      <c r="V980" s="47"/>
      <c r="W980" s="47"/>
      <c r="X980" s="47"/>
      <c r="Y980" s="47"/>
      <c r="Z980" s="47"/>
    </row>
    <row r="981" spans="1:26" ht="15.75" customHeight="1">
      <c r="A981" s="47"/>
      <c r="B981" s="47"/>
      <c r="C981" s="47"/>
      <c r="D981" s="47"/>
      <c r="E981" s="47"/>
      <c r="F981" s="47"/>
      <c r="G981" s="47"/>
      <c r="H981" s="47"/>
      <c r="I981" s="47"/>
      <c r="J981" s="47"/>
      <c r="K981" s="47"/>
      <c r="L981" s="47"/>
      <c r="M981" s="47"/>
      <c r="N981" s="47"/>
      <c r="O981" s="47"/>
      <c r="P981" s="47"/>
      <c r="Q981" s="47"/>
      <c r="R981" s="47"/>
      <c r="S981" s="47"/>
      <c r="T981" s="47"/>
      <c r="U981" s="47"/>
      <c r="V981" s="47"/>
      <c r="W981" s="47"/>
      <c r="X981" s="47"/>
      <c r="Y981" s="47"/>
      <c r="Z981" s="47"/>
    </row>
    <row r="982" spans="1:26" ht="15.75" customHeight="1">
      <c r="A982" s="47"/>
      <c r="B982" s="47"/>
      <c r="C982" s="47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  <c r="S982" s="47"/>
      <c r="T982" s="47"/>
      <c r="U982" s="47"/>
      <c r="V982" s="47"/>
      <c r="W982" s="47"/>
      <c r="X982" s="47"/>
      <c r="Y982" s="47"/>
      <c r="Z982" s="47"/>
    </row>
    <row r="983" spans="1:26" ht="15.75" customHeight="1">
      <c r="A983" s="47"/>
      <c r="B983" s="47"/>
      <c r="C983" s="47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  <c r="S983" s="47"/>
      <c r="T983" s="47"/>
      <c r="U983" s="47"/>
      <c r="V983" s="47"/>
      <c r="W983" s="47"/>
      <c r="X983" s="47"/>
      <c r="Y983" s="47"/>
      <c r="Z983" s="47"/>
    </row>
    <row r="984" spans="1:26" ht="15.75" customHeight="1">
      <c r="A984" s="47"/>
      <c r="B984" s="47"/>
      <c r="C984" s="47"/>
      <c r="D984" s="47"/>
      <c r="E984" s="47"/>
      <c r="F984" s="47"/>
      <c r="G984" s="47"/>
      <c r="H984" s="47"/>
      <c r="I984" s="47"/>
      <c r="J984" s="47"/>
      <c r="K984" s="47"/>
      <c r="L984" s="47"/>
      <c r="M984" s="47"/>
      <c r="N984" s="47"/>
      <c r="O984" s="47"/>
      <c r="P984" s="47"/>
      <c r="Q984" s="47"/>
      <c r="R984" s="47"/>
      <c r="S984" s="47"/>
      <c r="T984" s="47"/>
      <c r="U984" s="47"/>
      <c r="V984" s="47"/>
      <c r="W984" s="47"/>
      <c r="X984" s="47"/>
      <c r="Y984" s="47"/>
      <c r="Z984" s="47"/>
    </row>
    <row r="985" spans="1:26" ht="15.75" customHeight="1">
      <c r="A985" s="47"/>
      <c r="B985" s="47"/>
      <c r="C985" s="47"/>
      <c r="D985" s="47"/>
      <c r="E985" s="47"/>
      <c r="F985" s="47"/>
      <c r="G985" s="47"/>
      <c r="H985" s="47"/>
      <c r="I985" s="47"/>
      <c r="J985" s="47"/>
      <c r="K985" s="47"/>
      <c r="L985" s="47"/>
      <c r="M985" s="47"/>
      <c r="N985" s="47"/>
      <c r="O985" s="47"/>
      <c r="P985" s="47"/>
      <c r="Q985" s="47"/>
      <c r="R985" s="47"/>
      <c r="S985" s="47"/>
      <c r="T985" s="47"/>
      <c r="U985" s="47"/>
      <c r="V985" s="47"/>
      <c r="W985" s="47"/>
      <c r="X985" s="47"/>
      <c r="Y985" s="47"/>
      <c r="Z985" s="47"/>
    </row>
    <row r="986" spans="1:26" ht="15.75" customHeight="1">
      <c r="A986" s="47"/>
      <c r="B986" s="47"/>
      <c r="C986" s="47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  <c r="S986" s="47"/>
      <c r="T986" s="47"/>
      <c r="U986" s="47"/>
      <c r="V986" s="47"/>
      <c r="W986" s="47"/>
      <c r="X986" s="47"/>
      <c r="Y986" s="47"/>
      <c r="Z986" s="47"/>
    </row>
    <row r="987" spans="1:26" ht="15.75" customHeight="1">
      <c r="A987" s="47"/>
      <c r="B987" s="47"/>
      <c r="C987" s="47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  <c r="S987" s="47"/>
      <c r="T987" s="47"/>
      <c r="U987" s="47"/>
      <c r="V987" s="47"/>
      <c r="W987" s="47"/>
      <c r="X987" s="47"/>
      <c r="Y987" s="47"/>
      <c r="Z987" s="47"/>
    </row>
    <row r="988" spans="1:26" ht="15.75" customHeight="1">
      <c r="A988" s="47"/>
      <c r="B988" s="47"/>
      <c r="C988" s="47"/>
      <c r="D988" s="47"/>
      <c r="E988" s="47"/>
      <c r="F988" s="47"/>
      <c r="G988" s="47"/>
      <c r="H988" s="47"/>
      <c r="I988" s="47"/>
      <c r="J988" s="47"/>
      <c r="K988" s="47"/>
      <c r="L988" s="47"/>
      <c r="M988" s="47"/>
      <c r="N988" s="47"/>
      <c r="O988" s="47"/>
      <c r="P988" s="47"/>
      <c r="Q988" s="47"/>
      <c r="R988" s="47"/>
      <c r="S988" s="47"/>
      <c r="T988" s="47"/>
      <c r="U988" s="47"/>
      <c r="V988" s="47"/>
      <c r="W988" s="47"/>
      <c r="X988" s="47"/>
      <c r="Y988" s="47"/>
      <c r="Z988" s="47"/>
    </row>
    <row r="989" spans="1:26" ht="15.75" customHeight="1">
      <c r="A989" s="47"/>
      <c r="B989" s="47"/>
      <c r="C989" s="47"/>
      <c r="D989" s="47"/>
      <c r="E989" s="47"/>
      <c r="F989" s="47"/>
      <c r="G989" s="47"/>
      <c r="H989" s="47"/>
      <c r="I989" s="47"/>
      <c r="J989" s="47"/>
      <c r="K989" s="47"/>
      <c r="L989" s="47"/>
      <c r="M989" s="47"/>
      <c r="N989" s="47"/>
      <c r="O989" s="47"/>
      <c r="P989" s="47"/>
      <c r="Q989" s="47"/>
      <c r="R989" s="47"/>
      <c r="S989" s="47"/>
      <c r="T989" s="47"/>
      <c r="U989" s="47"/>
      <c r="V989" s="47"/>
      <c r="W989" s="47"/>
      <c r="X989" s="47"/>
      <c r="Y989" s="47"/>
      <c r="Z989" s="47"/>
    </row>
    <row r="990" spans="1:26" ht="15.75" customHeight="1">
      <c r="A990" s="47"/>
      <c r="B990" s="47"/>
      <c r="C990" s="47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  <c r="S990" s="47"/>
      <c r="T990" s="47"/>
      <c r="U990" s="47"/>
      <c r="V990" s="47"/>
      <c r="W990" s="47"/>
      <c r="X990" s="47"/>
      <c r="Y990" s="47"/>
      <c r="Z990" s="47"/>
    </row>
    <row r="991" spans="1:26" ht="15.75" customHeight="1">
      <c r="A991" s="47"/>
      <c r="B991" s="47"/>
      <c r="C991" s="47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  <c r="S991" s="47"/>
      <c r="T991" s="47"/>
      <c r="U991" s="47"/>
      <c r="V991" s="47"/>
      <c r="W991" s="47"/>
      <c r="X991" s="47"/>
      <c r="Y991" s="47"/>
      <c r="Z991" s="47"/>
    </row>
    <row r="992" spans="1:26" ht="15.75" customHeight="1">
      <c r="A992" s="47"/>
      <c r="B992" s="47"/>
      <c r="C992" s="47"/>
      <c r="D992" s="47"/>
      <c r="E992" s="47"/>
      <c r="F992" s="47"/>
      <c r="G992" s="47"/>
      <c r="H992" s="47"/>
      <c r="I992" s="47"/>
      <c r="J992" s="47"/>
      <c r="K992" s="47"/>
      <c r="L992" s="47"/>
      <c r="M992" s="47"/>
      <c r="N992" s="47"/>
      <c r="O992" s="47"/>
      <c r="P992" s="47"/>
      <c r="Q992" s="47"/>
      <c r="R992" s="47"/>
      <c r="S992" s="47"/>
      <c r="T992" s="47"/>
      <c r="U992" s="47"/>
      <c r="V992" s="47"/>
      <c r="W992" s="47"/>
      <c r="X992" s="47"/>
      <c r="Y992" s="47"/>
      <c r="Z992" s="47"/>
    </row>
    <row r="993" spans="1:26" ht="15.75" customHeight="1">
      <c r="A993" s="47"/>
      <c r="B993" s="47"/>
      <c r="C993" s="47"/>
      <c r="D993" s="47"/>
      <c r="E993" s="47"/>
      <c r="F993" s="47"/>
      <c r="G993" s="47"/>
      <c r="H993" s="47"/>
      <c r="I993" s="47"/>
      <c r="J993" s="47"/>
      <c r="K993" s="47"/>
      <c r="L993" s="47"/>
      <c r="M993" s="47"/>
      <c r="N993" s="47"/>
      <c r="O993" s="47"/>
      <c r="P993" s="47"/>
      <c r="Q993" s="47"/>
      <c r="R993" s="47"/>
      <c r="S993" s="47"/>
      <c r="T993" s="47"/>
      <c r="U993" s="47"/>
      <c r="V993" s="47"/>
      <c r="W993" s="47"/>
      <c r="X993" s="47"/>
      <c r="Y993" s="47"/>
      <c r="Z993" s="47"/>
    </row>
    <row r="994" spans="1:26" ht="15.75" customHeight="1">
      <c r="A994" s="47"/>
      <c r="B994" s="47"/>
      <c r="C994" s="47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  <c r="S994" s="47"/>
      <c r="T994" s="47"/>
      <c r="U994" s="47"/>
      <c r="V994" s="47"/>
      <c r="W994" s="47"/>
      <c r="X994" s="47"/>
      <c r="Y994" s="47"/>
      <c r="Z994" s="47"/>
    </row>
    <row r="995" spans="1:26" ht="15.75" customHeight="1">
      <c r="A995" s="47"/>
      <c r="B995" s="47"/>
      <c r="C995" s="47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  <c r="S995" s="47"/>
      <c r="T995" s="47"/>
      <c r="U995" s="47"/>
      <c r="V995" s="47"/>
      <c r="W995" s="47"/>
      <c r="X995" s="47"/>
      <c r="Y995" s="47"/>
      <c r="Z995" s="47"/>
    </row>
    <row r="996" spans="1:26" ht="15.75" customHeight="1">
      <c r="A996" s="47"/>
      <c r="B996" s="47"/>
      <c r="C996" s="47"/>
      <c r="D996" s="47"/>
      <c r="E996" s="47"/>
      <c r="F996" s="47"/>
      <c r="G996" s="47"/>
      <c r="H996" s="47"/>
      <c r="I996" s="47"/>
      <c r="J996" s="47"/>
      <c r="K996" s="47"/>
      <c r="L996" s="47"/>
      <c r="M996" s="47"/>
      <c r="N996" s="47"/>
      <c r="O996" s="47"/>
      <c r="P996" s="47"/>
      <c r="Q996" s="47"/>
      <c r="R996" s="47"/>
      <c r="S996" s="47"/>
      <c r="T996" s="47"/>
      <c r="U996" s="47"/>
      <c r="V996" s="47"/>
      <c r="W996" s="47"/>
      <c r="X996" s="47"/>
      <c r="Y996" s="47"/>
      <c r="Z996" s="47"/>
    </row>
    <row r="997" spans="1:26" ht="15.75" customHeight="1">
      <c r="A997" s="47"/>
      <c r="B997" s="47"/>
      <c r="C997" s="47"/>
      <c r="D997" s="47"/>
      <c r="E997" s="47"/>
      <c r="F997" s="47"/>
      <c r="G997" s="47"/>
      <c r="H997" s="47"/>
      <c r="I997" s="47"/>
      <c r="J997" s="47"/>
      <c r="K997" s="47"/>
      <c r="L997" s="47"/>
      <c r="M997" s="47"/>
      <c r="N997" s="47"/>
      <c r="O997" s="47"/>
      <c r="P997" s="47"/>
      <c r="Q997" s="47"/>
      <c r="R997" s="47"/>
      <c r="S997" s="47"/>
      <c r="T997" s="47"/>
      <c r="U997" s="47"/>
      <c r="V997" s="47"/>
      <c r="W997" s="47"/>
      <c r="X997" s="47"/>
      <c r="Y997" s="47"/>
      <c r="Z997" s="47"/>
    </row>
    <row r="998" spans="1:26" ht="15.75" customHeight="1">
      <c r="A998" s="47"/>
      <c r="B998" s="47"/>
      <c r="C998" s="47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  <c r="S998" s="47"/>
      <c r="T998" s="47"/>
      <c r="U998" s="47"/>
      <c r="V998" s="47"/>
      <c r="W998" s="47"/>
      <c r="X998" s="47"/>
      <c r="Y998" s="47"/>
      <c r="Z998" s="47"/>
    </row>
    <row r="999" spans="1:26" ht="15.75" customHeight="1">
      <c r="A999" s="47"/>
      <c r="B999" s="47"/>
      <c r="C999" s="47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  <c r="S999" s="47"/>
      <c r="T999" s="47"/>
      <c r="U999" s="47"/>
      <c r="V999" s="47"/>
      <c r="W999" s="47"/>
      <c r="X999" s="47"/>
      <c r="Y999" s="47"/>
      <c r="Z999" s="47"/>
    </row>
    <row r="1000" spans="1:26" ht="15.75" customHeight="1">
      <c r="A1000" s="47"/>
      <c r="B1000" s="47"/>
      <c r="C1000" s="47"/>
      <c r="D1000" s="47"/>
      <c r="E1000" s="47"/>
      <c r="F1000" s="47"/>
      <c r="G1000" s="47"/>
      <c r="H1000" s="47"/>
      <c r="I1000" s="47"/>
      <c r="J1000" s="47"/>
      <c r="K1000" s="47"/>
      <c r="L1000" s="47"/>
      <c r="M1000" s="47"/>
      <c r="N1000" s="47"/>
      <c r="O1000" s="47"/>
      <c r="P1000" s="47"/>
      <c r="Q1000" s="47"/>
      <c r="R1000" s="47"/>
      <c r="S1000" s="47"/>
      <c r="T1000" s="47"/>
      <c r="U1000" s="47"/>
      <c r="V1000" s="47"/>
      <c r="W1000" s="47"/>
      <c r="X1000" s="47"/>
      <c r="Y1000" s="47"/>
      <c r="Z1000" s="47"/>
    </row>
  </sheetData>
  <mergeCells count="5">
    <mergeCell ref="B56:C58"/>
    <mergeCell ref="E56:E58"/>
    <mergeCell ref="A5:F5"/>
    <mergeCell ref="C43:E43"/>
    <mergeCell ref="C54:D54"/>
  </mergeCells>
  <pageMargins left="0.7" right="0.7" top="0.75" bottom="0.75" header="0" footer="0"/>
  <pageSetup paperSize="9"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3300"/>
  </sheetPr>
  <dimension ref="A1:G1000"/>
  <sheetViews>
    <sheetView rightToLeft="1" workbookViewId="0"/>
  </sheetViews>
  <sheetFormatPr defaultColWidth="14.42578125" defaultRowHeight="15" customHeight="1"/>
  <cols>
    <col min="1" max="26" width="10" customWidth="1"/>
  </cols>
  <sheetData>
    <row r="1" spans="1:7">
      <c r="A1" s="59"/>
      <c r="B1" s="174" t="s">
        <v>848</v>
      </c>
      <c r="C1" s="81"/>
      <c r="D1" s="81"/>
      <c r="E1" s="81"/>
      <c r="F1" s="81"/>
      <c r="G1" s="81"/>
    </row>
    <row r="2" spans="1:7">
      <c r="A2" s="59">
        <v>0</v>
      </c>
    </row>
    <row r="3" spans="1:7">
      <c r="A3" s="59">
        <v>1</v>
      </c>
    </row>
    <row r="4" spans="1:7">
      <c r="A4" s="59">
        <v>2</v>
      </c>
    </row>
    <row r="19" spans="4:4">
      <c r="D19" s="60"/>
    </row>
    <row r="21" spans="4:4" ht="15.75" customHeight="1"/>
    <row r="22" spans="4:4" ht="15.75" customHeight="1"/>
    <row r="23" spans="4:4" ht="15.75" customHeight="1"/>
    <row r="24" spans="4:4" ht="15.75" customHeight="1"/>
    <row r="25" spans="4:4" ht="15.75" customHeight="1"/>
    <row r="26" spans="4:4" ht="15.75" customHeight="1"/>
    <row r="27" spans="4:4" ht="15.75" customHeight="1"/>
    <row r="28" spans="4:4" ht="15.75" customHeight="1"/>
    <row r="29" spans="4:4" ht="15.75" customHeight="1"/>
    <row r="30" spans="4:4" ht="15.75" customHeight="1"/>
    <row r="31" spans="4:4" ht="15.75" customHeight="1"/>
    <row r="32" spans="4:4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G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العيادات</vt:lpstr>
      <vt:lpstr>مبادرات-البان</vt:lpstr>
      <vt:lpstr>الاجمالي</vt:lpstr>
      <vt:lpstr>dont delete or edit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karim saleh</cp:lastModifiedBy>
  <dcterms:modified xsi:type="dcterms:W3CDTF">2026-05-28T09:23:49Z</dcterms:modified>
</cp:coreProperties>
</file>